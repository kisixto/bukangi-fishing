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sharedStrings.xml><?xml version="1.0" encoding="utf-8"?>
<sst xmlns="http://schemas.openxmlformats.org/spreadsheetml/2006/main" count="376" uniqueCount="235">
  <si>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</si>
  <si>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</si>
  <si>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</si>
  <si>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</si>
  <si>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</si>
  <si>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</si>
  <si>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</si>
  <si>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강 1마리 기대 판매가 (원)</t>
  </si>
  <si>
    <t xml:space="preserve">방파제 1마리 기대 판매가 (원)</t>
  </si>
  <si>
    <t xml:space="preserve">배낚시 1마리 기대 판매가 (원)</t>
  </si>
  <si>
    <t xml:space="preserve">부산 1마리 기대 판매가 (원)</t>
  </si>
  <si>
    <t xml:space="preserve">실내 낚시터 → 강 해금까지 기대 마릿수</t>
  </si>
  <si>
    <t xml:space="preserve">장비 강화에 돈을 안 쓴다고 가정</t>
  </si>
  <si>
    <t xml:space="preserve">강 → 방파제 해금까지 기대 마릿수</t>
  </si>
  <si>
    <t xml:space="preserve">방파제 → 배낚시 해금까지 기대 마릿수</t>
  </si>
  <si>
    <t xml:space="preserve">장비 4종 최고 등급까지 총비용 (원)</t>
  </si>
  <si>
    <t xml:space="preserve">배낚시로 총비용을 벌려면 기대 마릿수</t>
  </si>
  <si>
    <t xml:space="preserve">배낚시 기대 판매가 기준</t>
  </si>
  <si>
    <t xml:space="preserve">부캉이까지 기대 입질 수 (떡밥)</t>
  </si>
  <si>
    <t xml:space="preserve">부캉이까지 기대 입질 수 (황금 미끼)</t>
  </si>
  <si>
    <t xml:space="preserve">부산 이용권 1장 시간 (초)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</si>
  <si>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</si>
  <si>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</si>
  <si>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</si>
  <si>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</si>
  <si>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</si>
  <si>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</si>
  <si>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</si>
  <si>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</si>
  <si>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</si>
  <si>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</si>
  <si>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</si>
  <si>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</si>
  <si>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</si>
  <si>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</si>
  <si>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</si>
  <si>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</si>
  <si>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</si>
  <si>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</si>
  <si>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</si>
  <si>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</si>
  <si>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</si>
  <si>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</si>
  <si>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</si>
  <si>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</si>
  <si>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</si>
  <si>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</si>
  <si>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</si>
  <si>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</si>
  <si>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</si>
  <si>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</si>
  <si>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</si>
  <si>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</si>
  <si>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</si>
  <si>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</si>
  <si>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</si>
  <si>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</si>
  <si>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</si>
  <si>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</si>
  <si>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</si>
  <si>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</si>
  <si>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</si>
  <si>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</si>
  <si>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</si>
  <si>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</si>
  <si>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</si>
  <si>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</si>
  <si>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</si>
  <si>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</si>
  <si>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</si>
  <si>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</si>
  <si>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</si>
  <si>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</si>
  <si>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</si>
  <si>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</si>
  <si>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</si>
  <si>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</si>
  <si>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</si>
  <si>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</si>
  <si>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</si>
  <si>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</si>
  <si>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</si>
  <si>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</si>
  <si>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</si>
  <si>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</si>
  <si>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</si>
  <si>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</si>
  <si>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</si>
  <si>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</si>
  <si>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</si>
  <si>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</si>
  <si>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</si>
  <si>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</si>
  <si>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</si>
  <si>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</si>
  <si>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</si>
  <si>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</si>
  <si>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</si>
  <si>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</si>
  <si>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</si>
  <si>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</si>
  <si>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</si>
  <si>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</si>
  <si>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</si>
  <si>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</si>
  <si>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</si>
  <si>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</si>
  <si>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</si>
  <si>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</si>
  <si>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</si>
  <si>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</si>
  <si>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</si>
  <si>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</si>
  <si>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</si>
  <si>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</si>
  <si>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</si>
  <si>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</si>
  <si>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</si>
  <si>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</si>
  <si>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</si>
  <si>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</si>
  <si>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</si>
  <si>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</si>
  <si>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</si>
  <si>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</si>
  <si>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</si>
  <si>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</si>
  <si>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</si>
  <si>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</si>
  <si>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</si>
  <si>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</si>
  <si>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</si>
  <si>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</si>
  <si>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</si>
  <si>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</si>
  <si>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</si>
  <si>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</si>
  <si>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</si>
  <si>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</si>
  <si>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</si>
  <si>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</si>
  <si>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</si>
  <si>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</si>
  <si>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</si>
  <si>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</si>
  <si>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</si>
  <si>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</si>
  <si>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</si>
  <si>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</si>
  <si>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</si>
  <si>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</si>
  <si>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</si>
  <si>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</si>
  <si>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</si>
  <si>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</si>
  <si>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</si>
  <si>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</si>
  <si>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</si>
  <si>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</si>
  <si>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</si>
  <si>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</si>
  <si>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</si>
  <si>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</si>
  <si>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</si>
  <si>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</si>
  <si>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</si>
  <si>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</si>
  <si>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</si>
  <si>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</si>
  <si>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</si>
  <si>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</si>
  <si>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</si>
  <si>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</si>
  <si>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</si>
  <si>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</si>
  <si>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</si>
  <si>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</si>
  <si>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</si>
  <si>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</si>
  <si>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</si>
  <si>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</si>
  <si>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</si>
  <si>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</si>
  <si>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</si>
  <si>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</si>
  <si>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</si>
  <si>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</si>
  <si>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</si>
  <si>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</si>
  <si>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</si>
  <si>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</si>
  <si>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</si>
  <si>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</si>
  <si>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</si>
  <si>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</si>
  <si>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</si>
  <si>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</si>
  <si>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</si>
  <si>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</si>
  <si>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</si>
  <si>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</si>
  <si>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</si>
  <si>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</si>
  <si>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</si>
  <si>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</si>
  <si>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</si>
  <si>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</si>
  <si>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</si>
  <si>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</si>
  <si>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</si>
  <si>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</si>
  <si>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</si>
  <si>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</si>
  <si>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</si>
  <si>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</si>
  <si>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</si>
  <si>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</si>
  <si>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</si>
  <si>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0</t>
  </si>
  <si>
    <t xml:space="preserve">실내 낚시터</t>
  </si>
  <si>
    <t xml:space="preserve">1</t>
  </si>
  <si>
    <t xml:space="preserve">강</t>
  </si>
  <si>
    <t xml:space="preserve">2</t>
  </si>
  <si>
    <t xml:space="preserve">방파제</t>
  </si>
  <si>
    <t xml:space="preserve">3</t>
  </si>
  <si>
    <t xml:space="preserve">배낚시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</si>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</sst>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47.0148669809363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114.47175718879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758.269279988315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1944.80772047492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6" t="n">
        <f aca="false">낚시터!G5</f>
        <v>0</v>
      </c>
      <c r="C10" s="4" t="s">
        <v>12</v>
      </c>
    </row>
    <row r="11" customFormat="false" ht="15" hidden="false" customHeight="false" outlineLevel="0" collapsed="false">
      <c r="A11" s="4" t="s">
        <v>13</v>
      </c>
      <c r="B11" s="6" t="n">
        <f aca="false">낚시터!G6</f>
        <v>32</v>
      </c>
      <c r="C11" s="4" t="s">
        <v>12</v>
      </c>
    </row>
    <row r="12" customFormat="false" ht="15" hidden="false" customHeight="false" outlineLevel="0" collapsed="false">
      <c r="A12" s="4" t="s">
        <v>14</v>
      </c>
      <c r="B12" s="6" t="n">
        <f aca="false">낚시터!G7</f>
        <v>53</v>
      </c>
      <c r="C12" s="4" t="s">
        <v>12</v>
      </c>
    </row>
    <row r="13" customFormat="false" ht="15" hidden="false" customHeight="false" outlineLevel="0" collapsed="false">
      <c r="A13" s="4" t="s">
        <v>15</v>
      </c>
      <c r="B13" s="5" t="n">
        <f aca="false">장비!D25</f>
        <v>124700</v>
      </c>
      <c r="C13" s="4"/>
    </row>
    <row r="14" customFormat="false" ht="15" hidden="false" customHeight="false" outlineLevel="0" collapsed="false">
      <c r="A14" s="4" t="s">
        <v>16</v>
      </c>
      <c r="B14" s="6" t="n">
        <f aca="false">ROUNDUP(B13/낚시터!F8,0)</f>
        <v>165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6" t="n">
        <f aca="false">장비!I20</f>
        <v>250</v>
      </c>
      <c r="C15" s="4"/>
    </row>
    <row r="16" customFormat="false" ht="15" hidden="false" customHeight="false" outlineLevel="0" collapsed="false">
      <c r="A16" s="4" t="s">
        <v>19</v>
      </c>
      <c r="B16" s="6" t="n">
        <f aca="false">장비!I24</f>
        <v>96</v>
      </c>
      <c r="C16" s="4"/>
    </row>
    <row r="17" customFormat="false" ht="15" hidden="false" customHeight="false" outlineLevel="0" collapsed="false">
      <c r="A17" s="4" t="s">
        <v>20</v>
      </c>
      <c r="B17" s="7" t="n">
        <f aca="false">가정!$B$11</f>
        <v>150</v>
      </c>
      <c r="C17" s="4"/>
    </row>
    <row r="18" customFormat="false" ht="15" hidden="false" customHeight="false" outlineLevel="0" collapsed="false">
      <c r="A18" s="4" t="s">
        <v>21</v>
      </c>
      <c r="B18" s="8" t="n">
        <f aca="false">물고기!R5</f>
        <v>0.24495</v>
      </c>
      <c r="C18" s="4" t="s">
        <v>22</v>
      </c>
    </row>
    <row r="19" customFormat="false" ht="15" hidden="false" customHeight="false" outlineLevel="0" collapsed="false">
      <c r="A19" s="4" t="s">
        <v>23</v>
      </c>
      <c r="B19" s="8" t="n">
        <f aca="false">물고기!R30</f>
        <v>0.138</v>
      </c>
      <c r="C19" s="4"/>
    </row>
    <row r="20" customFormat="false" ht="15" hidden="false" customHeight="false" outlineLevel="0" collapsed="false">
      <c r="A20" s="4" t="s">
        <v>24</v>
      </c>
      <c r="B20" s="8" t="n">
        <f aca="false">물고기!S30</f>
        <v>0.23575</v>
      </c>
      <c r="C2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27</v>
      </c>
    </row>
    <row r="4" customFormat="false" ht="15" hidden="false" customHeight="false" outlineLevel="0" collapsed="false">
      <c r="A4" s="4" t="s">
        <v>28</v>
      </c>
      <c r="B4" s="9" t="n">
        <v>15</v>
      </c>
      <c r="C4" s="4" t="s">
        <v>29</v>
      </c>
    </row>
    <row r="5" customFormat="false" ht="15" hidden="false" customHeight="false" outlineLevel="0" collapsed="false">
      <c r="A5" s="4" t="s">
        <v>30</v>
      </c>
      <c r="B5" s="9" t="n">
        <v>1.8</v>
      </c>
      <c r="C5" s="4" t="s">
        <v>31</v>
      </c>
    </row>
    <row r="6" customFormat="false" ht="15" hidden="false" customHeight="false" outlineLevel="0" collapsed="false">
      <c r="A6" s="4" t="s">
        <v>32</v>
      </c>
      <c r="B6" s="9" t="n">
        <v>0.6</v>
      </c>
      <c r="C6" s="4" t="s">
        <v>33</v>
      </c>
    </row>
    <row r="7" customFormat="false" ht="15" hidden="false" customHeight="false" outlineLevel="0" collapsed="false">
      <c r="A7" s="4" t="s">
        <v>34</v>
      </c>
      <c r="B7" s="9" t="n">
        <v>0.35</v>
      </c>
      <c r="C7" s="4" t="s">
        <v>35</v>
      </c>
    </row>
    <row r="8" customFormat="false" ht="15" hidden="false" customHeight="false" outlineLevel="0" collapsed="false">
      <c r="A8" s="4" t="s">
        <v>36</v>
      </c>
      <c r="B8" s="9" t="n">
        <v>1.5</v>
      </c>
      <c r="C8" s="4" t="s">
        <v>37</v>
      </c>
    </row>
    <row r="9" customFormat="false" ht="15" hidden="false" customHeight="false" outlineLevel="0" collapsed="false">
      <c r="A9" s="4" t="s">
        <v>38</v>
      </c>
      <c r="B9" s="10" t="n">
        <v>0.004</v>
      </c>
      <c r="C9" s="4" t="s">
        <v>39</v>
      </c>
    </row>
    <row r="10" customFormat="false" ht="15" hidden="false" customHeight="false" outlineLevel="0" collapsed="false">
      <c r="A10" s="4" t="s">
        <v>40</v>
      </c>
      <c r="B10" s="9" t="n">
        <v>2</v>
      </c>
      <c r="C10" s="4" t="s">
        <v>41</v>
      </c>
    </row>
    <row r="11" customFormat="false" ht="15" hidden="false" customHeight="false" outlineLevel="0" collapsed="false">
      <c r="A11" s="4" t="s">
        <v>20</v>
      </c>
      <c r="B11" s="9" t="n">
        <v>150</v>
      </c>
      <c r="C11" s="4" t="s">
        <v>42</v>
      </c>
    </row>
    <row r="12" customFormat="false" ht="15" hidden="false" customHeight="false" outlineLevel="0" collapsed="false">
      <c r="A12" s="4" t="s">
        <v>43</v>
      </c>
      <c r="B12" s="9" t="n">
        <v>150</v>
      </c>
      <c r="C12" s="4" t="s">
        <v>44</v>
      </c>
    </row>
    <row r="13" customFormat="false" ht="15" hidden="false" customHeight="false" outlineLevel="0" collapsed="false">
      <c r="A13" s="4" t="s">
        <v>45</v>
      </c>
      <c r="B13" s="9" t="n">
        <v>30</v>
      </c>
      <c r="C13" s="4" t="s">
        <v>46</v>
      </c>
    </row>
    <row r="14" customFormat="false" ht="15" hidden="false" customHeight="false" outlineLevel="0" collapsed="false">
      <c r="A14" s="4" t="s">
        <v>47</v>
      </c>
      <c r="B14" s="9" t="n">
        <v>0.5</v>
      </c>
      <c r="C14" s="4" t="s">
        <v>48</v>
      </c>
    </row>
    <row r="15" customFormat="false" ht="15" hidden="false" customHeight="false" outlineLevel="0" collapsed="false">
      <c r="A15" s="4" t="s">
        <v>49</v>
      </c>
      <c r="B15" s="9" t="n">
        <v>1.15</v>
      </c>
      <c r="C15" s="4" t="s">
        <v>50</v>
      </c>
    </row>
    <row r="16" customFormat="false" ht="15" hidden="false" customHeight="false" outlineLevel="0" collapsed="false">
      <c r="A16" s="4" t="s">
        <v>51</v>
      </c>
      <c r="B16" s="9" t="n">
        <v>0.88</v>
      </c>
      <c r="C16" s="4" t="s">
        <v>52</v>
      </c>
    </row>
    <row r="17" customFormat="false" ht="15" hidden="false" customHeight="false" outlineLevel="0" collapsed="false">
      <c r="A17" s="4" t="s">
        <v>53</v>
      </c>
      <c r="B17" s="9" t="n">
        <v>0.88</v>
      </c>
      <c r="C17" s="4" t="s">
        <v>54</v>
      </c>
    </row>
    <row r="18" customFormat="false" ht="15" hidden="false" customHeight="false" outlineLevel="0" collapsed="false">
      <c r="A18" s="4" t="s">
        <v>55</v>
      </c>
      <c r="B18" s="9" t="n">
        <v>1.12</v>
      </c>
      <c r="C18" s="4" t="s">
        <v>56</v>
      </c>
    </row>
    <row r="19" customFormat="false" ht="15" hidden="false" customHeight="false" outlineLevel="0" collapsed="false">
      <c r="A19" s="4" t="s">
        <v>57</v>
      </c>
      <c r="B19" s="9" t="n">
        <v>0.24</v>
      </c>
      <c r="C19" s="4" t="s">
        <v>58</v>
      </c>
    </row>
    <row r="20" customFormat="false" ht="15" hidden="false" customHeight="false" outlineLevel="0" collapsed="false">
      <c r="A20" s="4" t="s">
        <v>59</v>
      </c>
      <c r="B20" s="9" t="n">
        <v>0.36</v>
      </c>
      <c r="C20" s="4" t="s">
        <v>60</v>
      </c>
    </row>
    <row r="21" customFormat="false" ht="15" hidden="false" customHeight="false" outlineLevel="0" collapsed="false">
      <c r="A21" s="4" t="s">
        <v>61</v>
      </c>
      <c r="B21" s="9" t="n">
        <v>0.75</v>
      </c>
      <c r="C21" s="4" t="s">
        <v>62</v>
      </c>
    </row>
    <row r="22" customFormat="false" ht="15" hidden="false" customHeight="false" outlineLevel="0" collapsed="false">
      <c r="A22" s="4" t="s">
        <v>63</v>
      </c>
      <c r="B22" s="9" t="n">
        <v>0.9</v>
      </c>
      <c r="C22" s="4" t="s">
        <v>64</v>
      </c>
    </row>
    <row r="23" customFormat="false" ht="15" hidden="false" customHeight="false" outlineLevel="0" collapsed="false">
      <c r="A23" s="4" t="s">
        <v>65</v>
      </c>
      <c r="B23" s="9" t="n">
        <v>2.2</v>
      </c>
      <c r="C23" s="4" t="s">
        <v>66</v>
      </c>
    </row>
    <row r="24" customFormat="false" ht="15" hidden="false" customHeight="false" outlineLevel="0" collapsed="false">
      <c r="A24" s="4" t="s">
        <v>67</v>
      </c>
      <c r="B24" s="9" t="n">
        <v>0.7</v>
      </c>
      <c r="C24" s="4" t="s">
        <v>68</v>
      </c>
    </row>
    <row r="25" customFormat="false" ht="15" hidden="false" customHeight="false" outlineLevel="0" collapsed="false">
      <c r="A25" s="4" t="s">
        <v>69</v>
      </c>
      <c r="B25" s="9" t="n">
        <v>0.05</v>
      </c>
      <c r="C25" s="4" t="s">
        <v>64</v>
      </c>
    </row>
    <row r="26" customFormat="false" ht="15" hidden="false" customHeight="false" outlineLevel="0" collapsed="false">
      <c r="A26" s="4" t="s">
        <v>70</v>
      </c>
      <c r="B26" s="9" t="n">
        <v>0.12</v>
      </c>
      <c r="C26" s="4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31.5" hidden="false" customHeight="true" outlineLevel="0" collapsed="false">
      <c r="A3" s="3" t="s">
        <v>73</v>
      </c>
      <c r="B3" s="3" t="s">
        <v>74</v>
      </c>
      <c r="C3" s="3" t="s">
        <v>75</v>
      </c>
      <c r="D3" s="3" t="s">
        <v>76</v>
      </c>
    </row>
    <row r="4" customFormat="false" ht="15" hidden="false" customHeight="false" outlineLevel="0" collapsed="false">
      <c r="A4" s="11" t="s">
        <v>77</v>
      </c>
      <c r="B4" s="12" t="n">
        <v>0</v>
      </c>
      <c r="C4" s="13" t="s">
        <v>78</v>
      </c>
      <c r="D4" s="14" t="n">
        <f aca="false">COUNTIF(물고기!$O$5:$O$40,A4)</f>
        <v>4</v>
      </c>
    </row>
    <row r="5" customFormat="false" ht="15" hidden="false" customHeight="false" outlineLevel="0" collapsed="false">
      <c r="A5" s="11" t="s">
        <v>79</v>
      </c>
      <c r="B5" s="12" t="n">
        <v>60</v>
      </c>
      <c r="C5" s="15" t="s">
        <v>80</v>
      </c>
      <c r="D5" s="14" t="n">
        <f aca="false">COUNTIF(물고기!$O$5:$O$40,A5)</f>
        <v>4</v>
      </c>
    </row>
    <row r="6" customFormat="false" ht="15" hidden="false" customHeight="false" outlineLevel="0" collapsed="false">
      <c r="A6" s="11" t="s">
        <v>81</v>
      </c>
      <c r="B6" s="12" t="n">
        <v>200</v>
      </c>
      <c r="C6" s="16" t="s">
        <v>82</v>
      </c>
      <c r="D6" s="14" t="n">
        <f aca="false">COUNTIF(물고기!$O$5:$O$40,A6)</f>
        <v>3</v>
      </c>
    </row>
    <row r="7" customFormat="false" ht="15" hidden="false" customHeight="false" outlineLevel="0" collapsed="false">
      <c r="A7" s="11" t="s">
        <v>83</v>
      </c>
      <c r="B7" s="12" t="n">
        <v>700</v>
      </c>
      <c r="C7" s="17" t="s">
        <v>84</v>
      </c>
      <c r="D7" s="14" t="n">
        <f aca="false">COUNTIF(물고기!$O$5:$O$40,A7)</f>
        <v>6</v>
      </c>
    </row>
    <row r="8" customFormat="false" ht="15" hidden="false" customHeight="false" outlineLevel="0" collapsed="false">
      <c r="A8" s="11" t="s">
        <v>85</v>
      </c>
      <c r="B8" s="12" t="n">
        <v>2500</v>
      </c>
      <c r="C8" s="18" t="s">
        <v>86</v>
      </c>
      <c r="D8" s="14" t="n">
        <f aca="false">COUNTIF(물고기!$O$5:$O$40,A8)</f>
        <v>9</v>
      </c>
    </row>
    <row r="9" customFormat="false" ht="15" hidden="false" customHeight="false" outlineLevel="0" collapsed="false">
      <c r="A9" s="4" t="s">
        <v>87</v>
      </c>
      <c r="B9" s="4" t="s">
        <v>88</v>
      </c>
      <c r="C9" s="19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91</v>
      </c>
    </row>
    <row r="4" customFormat="false" ht="31.5" hidden="false" customHeight="true" outlineLevel="0" collapsed="false">
      <c r="A4" s="3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100</v>
      </c>
    </row>
    <row r="5" customFormat="false" ht="15" hidden="false" customHeight="false" outlineLevel="0" collapsed="false">
      <c r="A5" s="4" t="s">
        <v>101</v>
      </c>
      <c r="B5" s="14" t="n">
        <v>1</v>
      </c>
      <c r="C5" s="11" t="s">
        <v>102</v>
      </c>
      <c r="D5" s="12" t="n">
        <v>0</v>
      </c>
      <c r="E5" s="20" t="n">
        <f aca="false">SUM($D$5:D5)</f>
        <v>0</v>
      </c>
      <c r="F5" s="21" t="n">
        <v>0.24</v>
      </c>
      <c r="G5" s="4" t="s">
        <v>103</v>
      </c>
    </row>
    <row r="6" customFormat="false" ht="15" hidden="false" customHeight="false" outlineLevel="0" collapsed="false">
      <c r="A6" s="4" t="s">
        <v>101</v>
      </c>
      <c r="B6" s="14" t="n">
        <v>2</v>
      </c>
      <c r="C6" s="11" t="s">
        <v>104</v>
      </c>
      <c r="D6" s="12" t="n">
        <v>200</v>
      </c>
      <c r="E6" s="20" t="n">
        <f aca="false">SUM($D$5:D6)</f>
        <v>200</v>
      </c>
      <c r="F6" s="21" t="n">
        <v>0.28</v>
      </c>
      <c r="G6" s="4" t="s">
        <v>105</v>
      </c>
    </row>
    <row r="7" customFormat="false" ht="15" hidden="false" customHeight="false" outlineLevel="0" collapsed="false">
      <c r="A7" s="4" t="s">
        <v>101</v>
      </c>
      <c r="B7" s="14" t="n">
        <v>3</v>
      </c>
      <c r="C7" s="11" t="s">
        <v>106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107</v>
      </c>
    </row>
    <row r="8" customFormat="false" ht="15" hidden="false" customHeight="false" outlineLevel="0" collapsed="false">
      <c r="A8" s="4" t="s">
        <v>101</v>
      </c>
      <c r="B8" s="14" t="n">
        <v>4</v>
      </c>
      <c r="C8" s="11" t="s">
        <v>108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109</v>
      </c>
    </row>
    <row r="9" customFormat="false" ht="15" hidden="false" customHeight="false" outlineLevel="0" collapsed="false">
      <c r="A9" s="4" t="s">
        <v>101</v>
      </c>
      <c r="B9" s="14" t="n">
        <v>5</v>
      </c>
      <c r="C9" s="11" t="s">
        <v>110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111</v>
      </c>
    </row>
    <row r="10" customFormat="false" ht="15" hidden="false" customHeight="false" outlineLevel="0" collapsed="false">
      <c r="A10" s="4" t="s">
        <v>112</v>
      </c>
      <c r="B10" s="14" t="n">
        <v>1</v>
      </c>
      <c r="C10" s="11" t="s">
        <v>113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114</v>
      </c>
    </row>
    <row r="11" customFormat="false" ht="15" hidden="false" customHeight="false" outlineLevel="0" collapsed="false">
      <c r="A11" s="4" t="s">
        <v>112</v>
      </c>
      <c r="B11" s="14" t="n">
        <v>2</v>
      </c>
      <c r="C11" s="11" t="s">
        <v>115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114</v>
      </c>
    </row>
    <row r="12" customFormat="false" ht="15" hidden="false" customHeight="false" outlineLevel="0" collapsed="false">
      <c r="A12" s="4" t="s">
        <v>112</v>
      </c>
      <c r="B12" s="14" t="n">
        <v>3</v>
      </c>
      <c r="C12" s="11" t="s">
        <v>116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114</v>
      </c>
    </row>
    <row r="13" customFormat="false" ht="15" hidden="false" customHeight="false" outlineLevel="0" collapsed="false">
      <c r="A13" s="4" t="s">
        <v>112</v>
      </c>
      <c r="B13" s="14" t="n">
        <v>4</v>
      </c>
      <c r="C13" s="11" t="s">
        <v>117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114</v>
      </c>
    </row>
    <row r="14" customFormat="false" ht="15" hidden="false" customHeight="false" outlineLevel="0" collapsed="false">
      <c r="A14" s="4" t="s">
        <v>112</v>
      </c>
      <c r="B14" s="14" t="n">
        <v>5</v>
      </c>
      <c r="C14" s="11" t="s">
        <v>118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114</v>
      </c>
    </row>
    <row r="15" customFormat="false" ht="15" hidden="false" customHeight="false" outlineLevel="0" collapsed="false">
      <c r="A15" s="4" t="s">
        <v>119</v>
      </c>
      <c r="B15" s="14" t="n">
        <v>1</v>
      </c>
      <c r="C15" s="11" t="s">
        <v>120</v>
      </c>
      <c r="D15" s="12" t="n">
        <v>0</v>
      </c>
      <c r="E15" s="20" t="n">
        <f aca="false">SUM($D$15:D15)</f>
        <v>0</v>
      </c>
      <c r="F15" s="22" t="n">
        <v>1.2</v>
      </c>
      <c r="G15" s="4" t="s">
        <v>121</v>
      </c>
    </row>
    <row r="16" customFormat="false" ht="15" hidden="false" customHeight="false" outlineLevel="0" collapsed="false">
      <c r="A16" s="4" t="s">
        <v>119</v>
      </c>
      <c r="B16" s="14" t="n">
        <v>2</v>
      </c>
      <c r="C16" s="11" t="s">
        <v>122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121</v>
      </c>
    </row>
    <row r="17" customFormat="false" ht="15" hidden="false" customHeight="false" outlineLevel="0" collapsed="false">
      <c r="A17" s="4" t="s">
        <v>119</v>
      </c>
      <c r="B17" s="14" t="n">
        <v>3</v>
      </c>
      <c r="C17" s="11" t="s">
        <v>123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121</v>
      </c>
    </row>
    <row r="18" customFormat="false" ht="15" hidden="false" customHeight="false" outlineLevel="0" collapsed="false">
      <c r="A18" s="4" t="s">
        <v>119</v>
      </c>
      <c r="B18" s="14" t="n">
        <v>4</v>
      </c>
      <c r="C18" s="11" t="s">
        <v>124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121</v>
      </c>
    </row>
    <row r="19" customFormat="false" ht="15" hidden="false" customHeight="false" outlineLevel="0" collapsed="false">
      <c r="A19" s="4" t="s">
        <v>119</v>
      </c>
      <c r="B19" s="14" t="n">
        <v>5</v>
      </c>
      <c r="C19" s="11" t="s">
        <v>125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121</v>
      </c>
    </row>
    <row r="20" customFormat="false" ht="15" hidden="false" customHeight="false" outlineLevel="0" collapsed="false">
      <c r="A20" s="4" t="s">
        <v>126</v>
      </c>
      <c r="B20" s="14" t="n">
        <v>1</v>
      </c>
      <c r="C20" s="11" t="s">
        <v>127</v>
      </c>
      <c r="D20" s="12" t="n">
        <v>0</v>
      </c>
      <c r="E20" s="20" t="n">
        <f aca="false">SUM($D$20:D20)</f>
        <v>0</v>
      </c>
      <c r="F20" s="21" t="n">
        <v>0</v>
      </c>
      <c r="G20" s="4" t="s">
        <v>128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126</v>
      </c>
      <c r="B21" s="14" t="n">
        <v>2</v>
      </c>
      <c r="C21" s="11" t="s">
        <v>129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128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126</v>
      </c>
      <c r="B22" s="14" t="n">
        <v>3</v>
      </c>
      <c r="C22" s="11" t="s">
        <v>130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128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126</v>
      </c>
      <c r="B23" s="14" t="n">
        <v>4</v>
      </c>
      <c r="C23" s="11" t="s">
        <v>131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128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126</v>
      </c>
      <c r="B24" s="14" t="n">
        <v>5</v>
      </c>
      <c r="C24" s="11" t="s">
        <v>132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128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133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19" min="18" style="0" width="14"/>
  </cols>
  <sheetData>
    <row r="1" customFormat="false" ht="16.1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31.5" hidden="false" customHeight="true" outlineLevel="0" collapsed="false">
      <c r="A4" s="3" t="s">
        <v>136</v>
      </c>
      <c r="B4" s="3" t="s">
        <v>94</v>
      </c>
      <c r="C4" s="3" t="s">
        <v>137</v>
      </c>
      <c r="D4" s="3" t="s">
        <v>138</v>
      </c>
      <c r="E4" s="3" t="s">
        <v>139</v>
      </c>
      <c r="F4" s="3" t="s">
        <v>140</v>
      </c>
      <c r="G4" s="3" t="s">
        <v>141</v>
      </c>
      <c r="H4" s="3" t="s">
        <v>142</v>
      </c>
      <c r="I4" s="3" t="s">
        <v>143</v>
      </c>
      <c r="J4" s="3" t="s">
        <v>144</v>
      </c>
      <c r="K4" s="3" t="s">
        <v>145</v>
      </c>
      <c r="L4" s="3" t="s">
        <v>146</v>
      </c>
      <c r="M4" s="3" t="s">
        <v>147</v>
      </c>
      <c r="N4" s="3" t="s">
        <v>148</v>
      </c>
      <c r="O4" s="3" t="s">
        <v>149</v>
      </c>
      <c r="P4" s="3" t="s">
        <v>150</v>
      </c>
      <c r="Q4" s="3" t="s">
        <v>151</v>
      </c>
      <c r="R4" s="3" t="s">
        <v>152</v>
      </c>
      <c r="S4" s="3" t="s">
        <v>153</v>
      </c>
    </row>
    <row r="5" customFormat="false" ht="15" hidden="false" customHeight="false" outlineLevel="0" collapsed="false">
      <c r="A5" s="4" t="s">
        <v>154</v>
      </c>
      <c r="B5" s="11" t="s">
        <v>155</v>
      </c>
      <c r="C5" s="11" t="s">
        <v>156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</row>
    <row r="6" customFormat="false" ht="15" hidden="false" customHeight="false" outlineLevel="0" collapsed="false">
      <c r="A6" s="4" t="s">
        <v>157</v>
      </c>
      <c r="B6" s="11" t="s">
        <v>158</v>
      </c>
      <c r="C6" s="11" t="s">
        <v>156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</row>
    <row r="7" customFormat="false" ht="15" hidden="false" customHeight="false" outlineLevel="0" collapsed="false">
      <c r="A7" s="4" t="s">
        <v>159</v>
      </c>
      <c r="B7" s="11" t="s">
        <v>160</v>
      </c>
      <c r="C7" s="11" t="s">
        <v>156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</row>
    <row r="8" customFormat="false" ht="15" hidden="false" customHeight="false" outlineLevel="0" collapsed="false">
      <c r="A8" s="4" t="s">
        <v>161</v>
      </c>
      <c r="B8" s="11" t="s">
        <v>162</v>
      </c>
      <c r="C8" s="11" t="s">
        <v>156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</row>
    <row r="9" customFormat="false" ht="15" hidden="false" customHeight="false" outlineLevel="0" collapsed="false">
      <c r="A9" s="4" t="s">
        <v>163</v>
      </c>
      <c r="B9" s="11" t="s">
        <v>164</v>
      </c>
      <c r="C9" s="11" t="s">
        <v>165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</row>
    <row r="10" customFormat="false" ht="15" hidden="false" customHeight="false" outlineLevel="0" collapsed="false">
      <c r="A10" s="4" t="s">
        <v>166</v>
      </c>
      <c r="B10" s="11" t="s">
        <v>167</v>
      </c>
      <c r="C10" s="11" t="s">
        <v>165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</row>
    <row r="11" customFormat="false" ht="15" hidden="false" customHeight="false" outlineLevel="0" collapsed="false">
      <c r="A11" s="4" t="s">
        <v>168</v>
      </c>
      <c r="B11" s="11" t="s">
        <v>169</v>
      </c>
      <c r="C11" s="11" t="s">
        <v>165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</row>
    <row r="12" customFormat="false" ht="15" hidden="false" customHeight="false" outlineLevel="0" collapsed="false">
      <c r="A12" s="4" t="s">
        <v>170</v>
      </c>
      <c r="B12" s="11" t="s">
        <v>171</v>
      </c>
      <c r="C12" s="11" t="s">
        <v>165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</row>
    <row r="13" customFormat="false" ht="15" hidden="false" customHeight="false" outlineLevel="0" collapsed="false">
      <c r="A13" s="4" t="s">
        <v>172</v>
      </c>
      <c r="B13" s="11" t="s">
        <v>173</v>
      </c>
      <c r="C13" s="11" t="s">
        <v>156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</row>
    <row r="14" customFormat="false" ht="15" hidden="false" customHeight="false" outlineLevel="0" collapsed="false">
      <c r="A14" s="4" t="s">
        <v>174</v>
      </c>
      <c r="B14" s="11" t="s">
        <v>175</v>
      </c>
      <c r="C14" s="11" t="s">
        <v>165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</row>
    <row r="15" customFormat="false" ht="15" hidden="false" customHeight="false" outlineLevel="0" collapsed="false">
      <c r="A15" s="4" t="s">
        <v>176</v>
      </c>
      <c r="B15" s="11" t="s">
        <v>177</v>
      </c>
      <c r="C15" s="11" t="s">
        <v>165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</row>
    <row r="16" customFormat="false" ht="15" hidden="false" customHeight="false" outlineLevel="0" collapsed="false">
      <c r="A16" s="4" t="s">
        <v>178</v>
      </c>
      <c r="B16" s="11" t="s">
        <v>179</v>
      </c>
      <c r="C16" s="11" t="s">
        <v>156</v>
      </c>
      <c r="D16" s="4"/>
      <c r="E16" s="9" t="n">
        <v>20</v>
      </c>
      <c r="F16" s="9" t="n">
        <v>50</v>
      </c>
      <c r="G16" s="12" t="n">
        <v>120</v>
      </c>
      <c r="H16" s="22" t="n">
        <v>0.45</v>
      </c>
      <c r="I16" s="27" t="n">
        <f aca="false">(E16+F16)/2</f>
        <v>35</v>
      </c>
      <c r="J16" s="20" t="n">
        <f aca="false">MAX(1,ROUND(G16*(E16/I16)^2,0))</f>
        <v>39</v>
      </c>
      <c r="K16" s="20" t="n">
        <f aca="false">MAX(1,ROUND(G16*(F16/I16)^2,0))</f>
        <v>245</v>
      </c>
      <c r="L16" s="20" t="n">
        <f aca="false">G16*(E16^2+2*E16*(F16-E16)/(1+가정!$B$5)+(F16-E16)^2/(1+2*가정!$B$5))/I16^2</f>
        <v>100.332107998479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</row>
    <row r="17" customFormat="false" ht="15" hidden="false" customHeight="false" outlineLevel="0" collapsed="false">
      <c r="A17" s="4" t="s">
        <v>180</v>
      </c>
      <c r="B17" s="11" t="s">
        <v>181</v>
      </c>
      <c r="C17" s="11" t="s">
        <v>156</v>
      </c>
      <c r="D17" s="4"/>
      <c r="E17" s="9" t="n">
        <v>25</v>
      </c>
      <c r="F17" s="9" t="n">
        <v>60</v>
      </c>
      <c r="G17" s="12" t="n">
        <v>380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131</v>
      </c>
      <c r="K17" s="20" t="n">
        <f aca="false">MAX(1,ROUND(G17*(F17/I17)^2,0))</f>
        <v>757</v>
      </c>
      <c r="L17" s="20" t="n">
        <f aca="false">G17*(E17^2+2*E17*(F17-E17)/(1+가정!$B$5)+(F17-E17)^2/(1+2*가정!$B$5))/I17^2</f>
        <v>319.001053106665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</row>
    <row r="18" customFormat="false" ht="15" hidden="false" customHeight="false" outlineLevel="0" collapsed="false">
      <c r="A18" s="4" t="s">
        <v>182</v>
      </c>
      <c r="B18" s="11" t="s">
        <v>183</v>
      </c>
      <c r="C18" s="11" t="s">
        <v>165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</row>
    <row r="19" customFormat="false" ht="15" hidden="false" customHeight="false" outlineLevel="0" collapsed="false">
      <c r="A19" s="4" t="s">
        <v>184</v>
      </c>
      <c r="B19" s="11" t="s">
        <v>185</v>
      </c>
      <c r="C19" s="11" t="s">
        <v>156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</row>
    <row r="20" customFormat="false" ht="15" hidden="false" customHeight="false" outlineLevel="0" collapsed="false">
      <c r="A20" s="4" t="s">
        <v>186</v>
      </c>
      <c r="B20" s="11" t="s">
        <v>187</v>
      </c>
      <c r="C20" s="11" t="s">
        <v>156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</row>
    <row r="21" customFormat="false" ht="15" hidden="false" customHeight="false" outlineLevel="0" collapsed="false">
      <c r="A21" s="4" t="s">
        <v>188</v>
      </c>
      <c r="B21" s="11" t="s">
        <v>189</v>
      </c>
      <c r="C21" s="11" t="s">
        <v>165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</row>
    <row r="22" customFormat="false" ht="15" hidden="false" customHeight="false" outlineLevel="0" collapsed="false">
      <c r="A22" s="4" t="s">
        <v>190</v>
      </c>
      <c r="B22" s="11" t="s">
        <v>191</v>
      </c>
      <c r="C22" s="11" t="s">
        <v>165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</row>
    <row r="23" customFormat="false" ht="15" hidden="false" customHeight="false" outlineLevel="0" collapsed="false">
      <c r="A23" s="4" t="s">
        <v>192</v>
      </c>
      <c r="B23" s="11" t="s">
        <v>193</v>
      </c>
      <c r="C23" s="11" t="s">
        <v>165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</row>
    <row r="24" customFormat="false" ht="15" hidden="false" customHeight="false" outlineLevel="0" collapsed="false">
      <c r="A24" s="4" t="s">
        <v>194</v>
      </c>
      <c r="B24" s="11" t="s">
        <v>195</v>
      </c>
      <c r="C24" s="11" t="s">
        <v>165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</row>
    <row r="25" customFormat="false" ht="15" hidden="false" customHeight="false" outlineLevel="0" collapsed="false">
      <c r="A25" s="4" t="s">
        <v>196</v>
      </c>
      <c r="B25" s="11" t="s">
        <v>197</v>
      </c>
      <c r="C25" s="11" t="s">
        <v>165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</row>
    <row r="26" customFormat="false" ht="15" hidden="false" customHeight="false" outlineLevel="0" collapsed="false">
      <c r="A26" s="4" t="s">
        <v>198</v>
      </c>
      <c r="B26" s="11" t="s">
        <v>199</v>
      </c>
      <c r="C26" s="11" t="s">
        <v>165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</row>
    <row r="27" customFormat="false" ht="15" hidden="false" customHeight="false" outlineLevel="0" collapsed="false">
      <c r="A27" s="4" t="s">
        <v>200</v>
      </c>
      <c r="B27" s="11" t="s">
        <v>201</v>
      </c>
      <c r="C27" s="11" t="s">
        <v>165</v>
      </c>
      <c r="D27" s="4" t="s">
        <v>202</v>
      </c>
      <c r="E27" s="9" t="n">
        <v>30</v>
      </c>
      <c r="F27" s="9" t="n">
        <v>55</v>
      </c>
      <c r="G27" s="12" t="n">
        <v>2500</v>
      </c>
      <c r="H27" s="22" t="n">
        <v>0.6</v>
      </c>
      <c r="I27" s="27" t="n">
        <f aca="false">(E27+F27)/2</f>
        <v>42.5</v>
      </c>
      <c r="J27" s="20" t="n">
        <f aca="false">MAX(1,ROUND(G27*(E27/I27)^2,0))</f>
        <v>1246</v>
      </c>
      <c r="K27" s="20" t="n">
        <f aca="false">MAX(1,ROUND(G27*(F27/I27)^2,0))</f>
        <v>4187</v>
      </c>
      <c r="L27" s="20" t="n">
        <f aca="false">G27*(E27^2+2*E27*(F27-E27)/(1+가정!$B$5)+(F27-E27)^2/(1+2*가정!$B$5))/I27^2</f>
        <v>2175.20256184315</v>
      </c>
      <c r="M27" s="4" t="str">
        <f aca="false">INDEX(등급!$A$4:$A$8,MATCH(J27,등급!$B$4:$B$8,1))</f>
        <v>영웅</v>
      </c>
      <c r="N27" s="14" t="n">
        <f aca="false">MATCH(K27,등급!$B$4:$B$8,1)-1</f>
        <v>4</v>
      </c>
      <c r="O27" s="4" t="str">
        <f aca="false">INDEX(등급!$A$4:$A$8,N27+1)</f>
        <v>전설</v>
      </c>
      <c r="P27" s="28" t="n">
        <f aca="false">MIN(1,H27*가정!$B$24+(MATCH(J27,등급!$B$4:$B$8,1)-1)*가정!$B$25)</f>
        <v>0.57</v>
      </c>
      <c r="Q27" s="28" t="n">
        <f aca="false">MIN(1,H27*가정!$B$24+N27*가정!$B$25+가정!$B$26)</f>
        <v>0.74</v>
      </c>
      <c r="R27" s="29" t="n">
        <f aca="false">장비!$F$5*(1-Q27*가정!$B$14)*가정!$B$15</f>
        <v>0.17388</v>
      </c>
      <c r="S27" s="29" t="n">
        <f aca="false">장비!$F$9*(1-Q27*가정!$B$14)*가정!$B$15</f>
        <v>0.297045</v>
      </c>
    </row>
    <row r="28" customFormat="false" ht="15" hidden="false" customHeight="false" outlineLevel="0" collapsed="false">
      <c r="A28" s="4" t="s">
        <v>203</v>
      </c>
      <c r="B28" s="11" t="s">
        <v>204</v>
      </c>
      <c r="C28" s="11" t="s">
        <v>165</v>
      </c>
      <c r="D28" s="4" t="s">
        <v>202</v>
      </c>
      <c r="E28" s="9" t="n">
        <v>90</v>
      </c>
      <c r="F28" s="9" t="n">
        <v>180</v>
      </c>
      <c r="G28" s="12" t="n">
        <v>1800</v>
      </c>
      <c r="H28" s="22" t="n">
        <v>0.55</v>
      </c>
      <c r="I28" s="27" t="n">
        <f aca="false">(E28+F28)/2</f>
        <v>135</v>
      </c>
      <c r="J28" s="20" t="n">
        <f aca="false">MAX(1,ROUND(G28*(E28/I28)^2,0))</f>
        <v>800</v>
      </c>
      <c r="K28" s="20" t="n">
        <f aca="false">MAX(1,ROUND(G28*(F28/I28)^2,0))</f>
        <v>3200</v>
      </c>
      <c r="L28" s="20" t="n">
        <f aca="false">G28*(E28^2+2*E28*(F28-E28)/(1+가정!$B$5)+(F28-E28)^2/(1+2*가정!$B$5))/I28^2</f>
        <v>1545.34161490683</v>
      </c>
      <c r="M28" s="4" t="str">
        <f aca="false">INDEX(등급!$A$4:$A$8,MATCH(J28,등급!$B$4:$B$8,1))</f>
        <v>영웅</v>
      </c>
      <c r="N28" s="14" t="n">
        <f aca="false">MATCH(K28,등급!$B$4:$B$8,1)-1</f>
        <v>4</v>
      </c>
      <c r="O28" s="4" t="str">
        <f aca="false">INDEX(등급!$A$4:$A$8,N28+1)</f>
        <v>전설</v>
      </c>
      <c r="P28" s="28" t="n">
        <f aca="false">MIN(1,H28*가정!$B$24+(MATCH(J28,등급!$B$4:$B$8,1)-1)*가정!$B$25)</f>
        <v>0.535</v>
      </c>
      <c r="Q28" s="28" t="n">
        <f aca="false">MIN(1,H28*가정!$B$24+N28*가정!$B$25+가정!$B$26)</f>
        <v>0.705</v>
      </c>
      <c r="R28" s="29" t="n">
        <f aca="false">장비!$F$5*(1-Q28*가정!$B$14)*가정!$B$15</f>
        <v>0.17871</v>
      </c>
      <c r="S28" s="29" t="n">
        <f aca="false">장비!$F$9*(1-Q28*가정!$B$14)*가정!$B$15</f>
        <v>0.30529625</v>
      </c>
    </row>
    <row r="29" customFormat="false" ht="15" hidden="false" customHeight="false" outlineLevel="0" collapsed="false">
      <c r="A29" s="4" t="s">
        <v>205</v>
      </c>
      <c r="B29" s="11" t="s">
        <v>206</v>
      </c>
      <c r="C29" s="11" t="s">
        <v>156</v>
      </c>
      <c r="D29" s="4" t="s">
        <v>202</v>
      </c>
      <c r="E29" s="9" t="n">
        <v>50</v>
      </c>
      <c r="F29" s="9" t="n">
        <v>120</v>
      </c>
      <c r="G29" s="12" t="n">
        <v>6000</v>
      </c>
      <c r="H29" s="22" t="n">
        <v>0.85</v>
      </c>
      <c r="I29" s="27" t="n">
        <f aca="false">(E29+F29)/2</f>
        <v>85</v>
      </c>
      <c r="J29" s="20" t="n">
        <f aca="false">MAX(1,ROUND(G29*(E29/I29)^2,0))</f>
        <v>2076</v>
      </c>
      <c r="K29" s="20" t="n">
        <f aca="false">MAX(1,ROUND(G29*(F29/I29)^2,0))</f>
        <v>11958</v>
      </c>
      <c r="L29" s="20" t="n">
        <f aca="false">G29*(E29^2+2*E29*(F29-E29)/(1+가정!$B$5)+(F29-E29)^2/(1+2*가정!$B$5))/I29^2</f>
        <v>5036.85873326313</v>
      </c>
      <c r="M29" s="4" t="str">
        <f aca="false">INDEX(등급!$A$4:$A$8,MATCH(J29,등급!$B$4:$B$8,1))</f>
        <v>영웅</v>
      </c>
      <c r="N29" s="14" t="n">
        <f aca="false">MATCH(K29,등급!$B$4:$B$8,1)-1</f>
        <v>4</v>
      </c>
      <c r="O29" s="4" t="str">
        <f aca="false">INDEX(등급!$A$4:$A$8,N29+1)</f>
        <v>전설</v>
      </c>
      <c r="P29" s="28" t="n">
        <f aca="false">MIN(1,H29*가정!$B$24+(MATCH(J29,등급!$B$4:$B$8,1)-1)*가정!$B$25)</f>
        <v>0.745</v>
      </c>
      <c r="Q29" s="28" t="n">
        <f aca="false">MIN(1,H29*가정!$B$24+N29*가정!$B$25+가정!$B$26)</f>
        <v>0.915</v>
      </c>
      <c r="R29" s="29" t="n">
        <f aca="false">장비!$F$5*(1-Q29*가정!$B$14)*가정!$B$15</f>
        <v>0.14973</v>
      </c>
      <c r="S29" s="29" t="n">
        <f aca="false">장비!$F$9*(1-Q29*가정!$B$14)*가정!$B$15</f>
        <v>0.25578875</v>
      </c>
    </row>
    <row r="30" customFormat="false" ht="15" hidden="false" customHeight="false" outlineLevel="0" collapsed="false">
      <c r="A30" s="4" t="s">
        <v>207</v>
      </c>
      <c r="B30" s="11" t="s">
        <v>208</v>
      </c>
      <c r="C30" s="11" t="s">
        <v>165</v>
      </c>
      <c r="D30" s="4" t="s">
        <v>202</v>
      </c>
      <c r="E30" s="9" t="n">
        <v>100</v>
      </c>
      <c r="F30" s="9" t="n">
        <v>220</v>
      </c>
      <c r="G30" s="12" t="n">
        <v>20000</v>
      </c>
      <c r="H30" s="22" t="n">
        <v>0.99</v>
      </c>
      <c r="I30" s="27" t="n">
        <f aca="false">(E30+F30)/2</f>
        <v>160</v>
      </c>
      <c r="J30" s="20" t="n">
        <f aca="false">MAX(1,ROUND(G30*(E30/I30)^2,0))</f>
        <v>7813</v>
      </c>
      <c r="K30" s="20" t="n">
        <f aca="false">MAX(1,ROUND(G30*(F30/I30)^2,0))</f>
        <v>37813</v>
      </c>
      <c r="L30" s="20" t="n">
        <f aca="false">G30*(E30^2+2*E30*(F30-E30)/(1+가정!$B$5)+(F30-E30)^2/(1+2*가정!$B$5))/I30^2</f>
        <v>16954.5807453416</v>
      </c>
      <c r="M30" s="4" t="str">
        <f aca="false">INDEX(등급!$A$4:$A$8,MATCH(J30,등급!$B$4:$B$8,1))</f>
        <v>전설</v>
      </c>
      <c r="N30" s="14" t="n">
        <f aca="false">MATCH(K30,등급!$B$4:$B$8,1)-1</f>
        <v>4</v>
      </c>
      <c r="O30" s="4" t="str">
        <f aca="false">INDEX(등급!$A$4:$A$8,N30+1)</f>
        <v>전설</v>
      </c>
      <c r="P30" s="28" t="n">
        <f aca="false">MIN(1,H30*가정!$B$24+(MATCH(J30,등급!$B$4:$B$8,1)-1)*가정!$B$25)</f>
        <v>0.893</v>
      </c>
      <c r="Q30" s="28" t="n">
        <f aca="false">MIN(1,H30*가정!$B$24+N30*가정!$B$25+가정!$B$26)</f>
        <v>1</v>
      </c>
      <c r="R30" s="29" t="n">
        <f aca="false">장비!$F$5*(1-Q30*가정!$B$14)*가정!$B$15</f>
        <v>0.138</v>
      </c>
      <c r="S30" s="29" t="n">
        <f aca="false">장비!$F$9*(1-Q30*가정!$B$14)*가정!$B$15</f>
        <v>0.23575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4" customFormat="false" ht="31.5" hidden="false" customHeight="true" outlineLevel="0" collapsed="false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  <c r="F4" s="3" t="s">
        <v>146</v>
      </c>
      <c r="G4" s="3" t="s">
        <v>216</v>
      </c>
      <c r="H4" s="3" t="s">
        <v>217</v>
      </c>
    </row>
    <row r="5" customFormat="false" ht="15" hidden="false" customHeight="false" outlineLevel="0" collapsed="false">
      <c r="A5" s="4" t="s">
        <v>218</v>
      </c>
      <c r="B5" s="4" t="s">
        <v>219</v>
      </c>
      <c r="C5" s="12" t="n">
        <v>0</v>
      </c>
      <c r="D5" s="11" t="s">
        <v>156</v>
      </c>
      <c r="E5" s="14" t="n">
        <f aca="false">COUNTIF($A$14:$A$44,B5)</f>
        <v>3</v>
      </c>
      <c r="F5" s="20" t="n">
        <f aca="false">SUMIF($A$14:$A$44,B5,$G$14:$G$44)</f>
        <v>15.9562934336509</v>
      </c>
      <c r="G5" s="24" t="n">
        <f aca="false">ROUNDUP((C6-가정!$B$12)/F5,0)</f>
        <v>0</v>
      </c>
      <c r="H5" s="14" t="n">
        <f aca="false">COUNTIFS($A$14:$A$44,B5,$I$14:$I$44,"전설")</f>
        <v>0</v>
      </c>
    </row>
    <row r="6" customFormat="false" ht="15" hidden="false" customHeight="false" outlineLevel="0" collapsed="false">
      <c r="A6" s="4" t="s">
        <v>220</v>
      </c>
      <c r="B6" s="4" t="s">
        <v>221</v>
      </c>
      <c r="C6" s="12" t="n">
        <v>150</v>
      </c>
      <c r="D6" s="11" t="s">
        <v>156</v>
      </c>
      <c r="E6" s="14" t="n">
        <f aca="false">COUNTIF($A$14:$A$44,B6)</f>
        <v>7</v>
      </c>
      <c r="F6" s="20" t="n">
        <f aca="false">SUMIF($A$14:$A$44,B6,$G$14:$G$44)</f>
        <v>47.0148669809363</v>
      </c>
      <c r="G6" s="24" t="n">
        <f aca="false">ROUNDUP(C7/F6,0)</f>
        <v>32</v>
      </c>
      <c r="H6" s="14" t="n">
        <f aca="false">COUNTIFS($A$14:$A$44,B6,$I$14:$I$44,"전설")</f>
        <v>1</v>
      </c>
    </row>
    <row r="7" customFormat="false" ht="15" hidden="false" customHeight="false" outlineLevel="0" collapsed="false">
      <c r="A7" s="4" t="s">
        <v>222</v>
      </c>
      <c r="B7" s="4" t="s">
        <v>223</v>
      </c>
      <c r="C7" s="12" t="n">
        <v>1500</v>
      </c>
      <c r="D7" s="11" t="s">
        <v>156</v>
      </c>
      <c r="E7" s="14" t="n">
        <f aca="false">COUNTIF($A$14:$A$44,B7)</f>
        <v>8</v>
      </c>
      <c r="F7" s="20" t="n">
        <f aca="false">SUMIF($A$14:$A$44,B7,$G$14:$G$44)</f>
        <v>114.47175718879</v>
      </c>
      <c r="G7" s="24" t="n">
        <f aca="false">ROUNDUP(C8/F7,0)</f>
        <v>53</v>
      </c>
      <c r="H7" s="14" t="n">
        <f aca="false">COUNTIFS($A$14:$A$44,B7,$I$14:$I$44,"전설")</f>
        <v>1</v>
      </c>
    </row>
    <row r="8" customFormat="false" ht="15" hidden="false" customHeight="false" outlineLevel="0" collapsed="false">
      <c r="A8" s="4" t="s">
        <v>224</v>
      </c>
      <c r="B8" s="4" t="s">
        <v>225</v>
      </c>
      <c r="C8" s="12" t="n">
        <v>6000</v>
      </c>
      <c r="D8" s="11" t="s">
        <v>165</v>
      </c>
      <c r="E8" s="14" t="n">
        <f aca="false">COUNTIF($A$14:$A$44,B8)</f>
        <v>6</v>
      </c>
      <c r="F8" s="20" t="n">
        <f aca="false">SUMIF($A$14:$A$44,B8,$G$14:$G$44)</f>
        <v>758.269279988315</v>
      </c>
      <c r="G8" s="4" t="s">
        <v>226</v>
      </c>
      <c r="H8" s="14" t="n">
        <f aca="false">COUNTIFS($A$14:$A$44,B8,$I$14:$I$44,"전설")</f>
        <v>3</v>
      </c>
    </row>
    <row r="9" customFormat="false" ht="15" hidden="false" customHeight="false" outlineLevel="0" collapsed="false">
      <c r="A9" s="4" t="s">
        <v>227</v>
      </c>
      <c r="B9" s="4" t="s">
        <v>228</v>
      </c>
      <c r="C9" s="4" t="s">
        <v>229</v>
      </c>
      <c r="D9" s="11" t="s">
        <v>165</v>
      </c>
      <c r="E9" s="14" t="n">
        <f aca="false">COUNTIF($A$14:$A$44,B9)</f>
        <v>7</v>
      </c>
      <c r="F9" s="20" t="n">
        <f aca="false">SUMIF($A$14:$A$44,B9,$G$14:$G$44)</f>
        <v>1944.80772047492</v>
      </c>
      <c r="G9" s="4" t="s">
        <v>226</v>
      </c>
      <c r="H9" s="14" t="n">
        <f aca="false">COUNTIFS($A$14:$A$44,B9,$I$14:$I$44,"전설")</f>
        <v>6</v>
      </c>
    </row>
    <row r="12" customFormat="false" ht="15" hidden="false" customHeight="false" outlineLevel="0" collapsed="false">
      <c r="A12" s="30" t="s">
        <v>230</v>
      </c>
    </row>
    <row r="13" customFormat="false" ht="31.5" hidden="false" customHeight="true" outlineLevel="0" collapsed="false">
      <c r="A13" s="3" t="s">
        <v>212</v>
      </c>
      <c r="B13" s="3" t="s">
        <v>231</v>
      </c>
      <c r="C13" s="3" t="s">
        <v>94</v>
      </c>
      <c r="D13" s="3" t="s">
        <v>137</v>
      </c>
      <c r="E13" s="3" t="s">
        <v>232</v>
      </c>
      <c r="F13" s="3" t="s">
        <v>233</v>
      </c>
      <c r="G13" s="3" t="s">
        <v>234</v>
      </c>
      <c r="H13" s="3" t="s">
        <v>146</v>
      </c>
      <c r="I13" s="3" t="s">
        <v>149</v>
      </c>
    </row>
    <row r="14" customFormat="false" ht="15" hidden="false" customHeight="false" outlineLevel="0" collapsed="false">
      <c r="A14" s="4" t="s">
        <v>219</v>
      </c>
      <c r="B14" s="4" t="s">
        <v>154</v>
      </c>
      <c r="C14" s="31" t="str">
        <f aca="false">물고기!B5</f>
        <v>붕어</v>
      </c>
      <c r="D14" s="31" t="str">
        <f aca="false">물고기!C5</f>
        <v>찌낚시</v>
      </c>
      <c r="E14" s="32" t="n">
        <v>70</v>
      </c>
      <c r="F14" s="29" t="n">
        <f aca="false">E14/SUMIF($A$14:$A$44,A14,$E$14:$E$44)</f>
        <v>0.7</v>
      </c>
      <c r="G14" s="20" t="n">
        <f aca="false">F14*H14</f>
        <v>7.02324755989352</v>
      </c>
      <c r="H14" s="5" t="n">
        <f aca="false">물고기!L5</f>
        <v>10.0332107998479</v>
      </c>
      <c r="I14" s="31" t="str">
        <f aca="false">물고기!O5</f>
        <v>일반</v>
      </c>
    </row>
    <row r="15" customFormat="false" ht="15" hidden="false" customHeight="false" outlineLevel="0" collapsed="false">
      <c r="A15" s="4" t="s">
        <v>219</v>
      </c>
      <c r="B15" s="4" t="s">
        <v>157</v>
      </c>
      <c r="C15" s="31" t="str">
        <f aca="false">물고기!B6</f>
        <v>향어</v>
      </c>
      <c r="D15" s="31" t="str">
        <f aca="false">물고기!C6</f>
        <v>찌낚시</v>
      </c>
      <c r="E15" s="32" t="n">
        <v>25</v>
      </c>
      <c r="F15" s="29" t="n">
        <f aca="false">E15/SUMIF($A$14:$A$44,A15,$E$14:$E$44)</f>
        <v>0.25</v>
      </c>
      <c r="G15" s="20" t="n">
        <f aca="false">F15*H15</f>
        <v>6.43892339544513</v>
      </c>
      <c r="H15" s="5" t="n">
        <f aca="false">물고기!L6</f>
        <v>25.7556935817805</v>
      </c>
      <c r="I15" s="31" t="str">
        <f aca="false">물고기!O6</f>
        <v>일반</v>
      </c>
    </row>
    <row r="16" customFormat="false" ht="15" hidden="false" customHeight="false" outlineLevel="0" collapsed="false">
      <c r="A16" s="4" t="s">
        <v>219</v>
      </c>
      <c r="B16" s="4" t="s">
        <v>159</v>
      </c>
      <c r="C16" s="31" t="str">
        <f aca="false">물고기!B7</f>
        <v>잉어</v>
      </c>
      <c r="D16" s="31" t="str">
        <f aca="false">물고기!C7</f>
        <v>찌낚시</v>
      </c>
      <c r="E16" s="32" t="n">
        <v>5</v>
      </c>
      <c r="F16" s="29" t="n">
        <f aca="false">E16/SUMIF($A$14:$A$44,A16,$E$14:$E$44)</f>
        <v>0.05</v>
      </c>
      <c r="G16" s="20" t="n">
        <f aca="false">F16*H16</f>
        <v>2.4941224783122</v>
      </c>
      <c r="H16" s="5" t="n">
        <f aca="false">물고기!L7</f>
        <v>49.882449566244</v>
      </c>
      <c r="I16" s="31" t="str">
        <f aca="false">물고기!O7</f>
        <v>고급</v>
      </c>
    </row>
    <row r="17" customFormat="false" ht="15" hidden="false" customHeight="false" outlineLevel="0" collapsed="false">
      <c r="A17" s="4" t="s">
        <v>221</v>
      </c>
      <c r="B17" s="4" t="s">
        <v>161</v>
      </c>
      <c r="C17" s="31" t="str">
        <f aca="false">물고기!B8</f>
        <v>피라미</v>
      </c>
      <c r="D17" s="31" t="str">
        <f aca="false">물고기!C8</f>
        <v>찌낚시</v>
      </c>
      <c r="E17" s="32" t="n">
        <v>35</v>
      </c>
      <c r="F17" s="29" t="n">
        <f aca="false">E17/SUMIF($A$14:$A$44,A17,$E$14:$E$44)</f>
        <v>0.35140562248996</v>
      </c>
      <c r="G17" s="20" t="n">
        <f aca="false">F17*H17</f>
        <v>1.76286334334677</v>
      </c>
      <c r="H17" s="5" t="n">
        <f aca="false">물고기!L8</f>
        <v>5.01660539992395</v>
      </c>
      <c r="I17" s="31" t="str">
        <f aca="false">물고기!O8</f>
        <v>일반</v>
      </c>
    </row>
    <row r="18" customFormat="false" ht="15" hidden="false" customHeight="false" outlineLevel="0" collapsed="false">
      <c r="A18" s="4" t="s">
        <v>221</v>
      </c>
      <c r="B18" s="4" t="s">
        <v>154</v>
      </c>
      <c r="C18" s="31" t="str">
        <f aca="false">물고기!B5</f>
        <v>붕어</v>
      </c>
      <c r="D18" s="31" t="str">
        <f aca="false">물고기!C5</f>
        <v>찌낚시</v>
      </c>
      <c r="E18" s="32" t="n">
        <v>28</v>
      </c>
      <c r="F18" s="29" t="n">
        <f aca="false">E18/SUMIF($A$14:$A$44,A18,$E$14:$E$44)</f>
        <v>0.281124497991968</v>
      </c>
      <c r="G18" s="20" t="n">
        <f aca="false">F18*H18</f>
        <v>2.82058134935483</v>
      </c>
      <c r="H18" s="5" t="n">
        <f aca="false">물고기!L5</f>
        <v>10.0332107998479</v>
      </c>
      <c r="I18" s="31" t="str">
        <f aca="false">물고기!O5</f>
        <v>일반</v>
      </c>
    </row>
    <row r="19" customFormat="false" ht="15" hidden="false" customHeight="false" outlineLevel="0" collapsed="false">
      <c r="A19" s="4" t="s">
        <v>221</v>
      </c>
      <c r="B19" s="4" t="s">
        <v>159</v>
      </c>
      <c r="C19" s="31" t="str">
        <f aca="false">물고기!B7</f>
        <v>잉어</v>
      </c>
      <c r="D19" s="31" t="str">
        <f aca="false">물고기!C7</f>
        <v>찌낚시</v>
      </c>
      <c r="E19" s="32" t="n">
        <v>14</v>
      </c>
      <c r="F19" s="29" t="n">
        <f aca="false">E19/SUMIF($A$14:$A$44,A19,$E$14:$E$44)</f>
        <v>0.140562248995984</v>
      </c>
      <c r="G19" s="20" t="n">
        <f aca="false">F19*H19</f>
        <v>7.01158929646001</v>
      </c>
      <c r="H19" s="5" t="n">
        <f aca="false">물고기!L7</f>
        <v>49.882449566244</v>
      </c>
      <c r="I19" s="31" t="str">
        <f aca="false">물고기!O7</f>
        <v>고급</v>
      </c>
    </row>
    <row r="20" customFormat="false" ht="15" hidden="false" customHeight="false" outlineLevel="0" collapsed="false">
      <c r="A20" s="4" t="s">
        <v>221</v>
      </c>
      <c r="B20" s="4" t="s">
        <v>163</v>
      </c>
      <c r="C20" s="31" t="str">
        <f aca="false">물고기!B9</f>
        <v>메기</v>
      </c>
      <c r="D20" s="31" t="str">
        <f aca="false">물고기!C9</f>
        <v>릴낚시</v>
      </c>
      <c r="E20" s="32" t="n">
        <v>12</v>
      </c>
      <c r="F20" s="29" t="n">
        <f aca="false">E20/SUMIF($A$14:$A$44,A20,$E$14:$E$44)</f>
        <v>0.120481927710843</v>
      </c>
      <c r="G20" s="20" t="n">
        <f aca="false">F20*H20</f>
        <v>6.9539025667889</v>
      </c>
      <c r="H20" s="5" t="n">
        <f aca="false">물고기!L9</f>
        <v>57.7173913043478</v>
      </c>
      <c r="I20" s="31" t="str">
        <f aca="false">물고기!O9</f>
        <v>고급</v>
      </c>
    </row>
    <row r="21" customFormat="false" ht="15" hidden="false" customHeight="false" outlineLevel="0" collapsed="false">
      <c r="A21" s="4" t="s">
        <v>221</v>
      </c>
      <c r="B21" s="4" t="s">
        <v>166</v>
      </c>
      <c r="C21" s="31" t="str">
        <f aca="false">물고기!B10</f>
        <v>쏘가리</v>
      </c>
      <c r="D21" s="31" t="str">
        <f aca="false">물고기!C10</f>
        <v>릴낚시</v>
      </c>
      <c r="E21" s="32" t="n">
        <v>7</v>
      </c>
      <c r="F21" s="29" t="n">
        <f aca="false">E21/SUMIF($A$14:$A$44,A21,$E$14:$E$44)</f>
        <v>0.070281124497992</v>
      </c>
      <c r="G21" s="20" t="n">
        <f aca="false">F21*H21</f>
        <v>9.32627126864948</v>
      </c>
      <c r="H21" s="5" t="n">
        <f aca="false">물고기!L10</f>
        <v>132.699516908213</v>
      </c>
      <c r="I21" s="31" t="str">
        <f aca="false">물고기!O10</f>
        <v>희귀</v>
      </c>
    </row>
    <row r="22" customFormat="false" ht="15" hidden="false" customHeight="false" outlineLevel="0" collapsed="false">
      <c r="A22" s="4" t="s">
        <v>221</v>
      </c>
      <c r="B22" s="4" t="s">
        <v>168</v>
      </c>
      <c r="C22" s="31" t="str">
        <f aca="false">물고기!B11</f>
        <v>민물장어</v>
      </c>
      <c r="D22" s="31" t="str">
        <f aca="false">물고기!C11</f>
        <v>릴낚시</v>
      </c>
      <c r="E22" s="32" t="n">
        <v>3</v>
      </c>
      <c r="F22" s="29" t="n">
        <f aca="false">E22/SUMIF($A$14:$A$44,A22,$E$14:$E$44)</f>
        <v>0.0301204819277108</v>
      </c>
      <c r="G22" s="20" t="n">
        <f aca="false">F22*H22</f>
        <v>10.0735048191244</v>
      </c>
      <c r="H22" s="5" t="n">
        <f aca="false">물고기!L11</f>
        <v>334.44035999493</v>
      </c>
      <c r="I22" s="31" t="str">
        <f aca="false">물고기!O11</f>
        <v>영웅</v>
      </c>
    </row>
    <row r="23" customFormat="false" ht="15" hidden="false" customHeight="false" outlineLevel="0" collapsed="false">
      <c r="A23" s="4" t="s">
        <v>221</v>
      </c>
      <c r="B23" s="4" t="s">
        <v>170</v>
      </c>
      <c r="C23" s="31" t="str">
        <f aca="false">물고기!B12</f>
        <v>철갑상어</v>
      </c>
      <c r="D23" s="31" t="str">
        <f aca="false">물고기!C12</f>
        <v>릴낚시</v>
      </c>
      <c r="E23" s="32" t="n">
        <v>0.6</v>
      </c>
      <c r="F23" s="29" t="n">
        <f aca="false">E23/SUMIF($A$14:$A$44,A23,$E$14:$E$44)</f>
        <v>0.00602409638554217</v>
      </c>
      <c r="G23" s="20" t="n">
        <f aca="false">F23*H23</f>
        <v>9.06615433721195</v>
      </c>
      <c r="H23" s="5" t="n">
        <f aca="false">물고기!L12</f>
        <v>1504.98161997718</v>
      </c>
      <c r="I23" s="31" t="str">
        <f aca="false">물고기!O12</f>
        <v>전설</v>
      </c>
    </row>
    <row r="24" customFormat="false" ht="15" hidden="false" customHeight="false" outlineLevel="0" collapsed="false">
      <c r="A24" s="4" t="s">
        <v>223</v>
      </c>
      <c r="B24" s="4" t="s">
        <v>172</v>
      </c>
      <c r="C24" s="31" t="str">
        <f aca="false">물고기!B13</f>
        <v>망둥어</v>
      </c>
      <c r="D24" s="31" t="str">
        <f aca="false">물고기!C13</f>
        <v>찌낚시</v>
      </c>
      <c r="E24" s="32" t="n">
        <v>30</v>
      </c>
      <c r="F24" s="29" t="n">
        <f aca="false">E24/SUMIF($A$14:$A$44,A24,$E$14:$E$44)</f>
        <v>0.301507537688442</v>
      </c>
      <c r="G24" s="20" t="n">
        <f aca="false">F24*H24</f>
        <v>3.72056886248397</v>
      </c>
      <c r="H24" s="5" t="n">
        <f aca="false">물고기!L13</f>
        <v>12.3398867272385</v>
      </c>
      <c r="I24" s="31" t="str">
        <f aca="false">물고기!O13</f>
        <v>일반</v>
      </c>
    </row>
    <row r="25" customFormat="false" ht="15" hidden="false" customHeight="false" outlineLevel="0" collapsed="false">
      <c r="A25" s="4" t="s">
        <v>223</v>
      </c>
      <c r="B25" s="4" t="s">
        <v>174</v>
      </c>
      <c r="C25" s="31" t="str">
        <f aca="false">물고기!B14</f>
        <v>전갱이</v>
      </c>
      <c r="D25" s="31" t="str">
        <f aca="false">물고기!C14</f>
        <v>릴낚시</v>
      </c>
      <c r="E25" s="32" t="n">
        <v>22</v>
      </c>
      <c r="F25" s="29" t="n">
        <f aca="false">E25/SUMIF($A$14:$A$44,A25,$E$14:$E$44)</f>
        <v>0.221105527638191</v>
      </c>
      <c r="G25" s="20" t="n">
        <f aca="false">F25*H25</f>
        <v>6.43374977655074</v>
      </c>
      <c r="H25" s="5" t="n">
        <f aca="false">물고기!L14</f>
        <v>29.098095580309</v>
      </c>
      <c r="I25" s="31" t="str">
        <f aca="false">물고기!O14</f>
        <v>고급</v>
      </c>
    </row>
    <row r="26" customFormat="false" ht="15" hidden="false" customHeight="false" outlineLevel="0" collapsed="false">
      <c r="A26" s="4" t="s">
        <v>223</v>
      </c>
      <c r="B26" s="4" t="s">
        <v>176</v>
      </c>
      <c r="C26" s="31" t="str">
        <f aca="false">물고기!B15</f>
        <v>고등어</v>
      </c>
      <c r="D26" s="31" t="str">
        <f aca="false">물고기!C15</f>
        <v>릴낚시</v>
      </c>
      <c r="E26" s="32" t="n">
        <v>18</v>
      </c>
      <c r="F26" s="29" t="n">
        <f aca="false">E26/SUMIF($A$14:$A$44,A26,$E$14:$E$44)</f>
        <v>0.180904522613065</v>
      </c>
      <c r="G26" s="20" t="n">
        <f aca="false">F26*H26</f>
        <v>9.3186429039608</v>
      </c>
      <c r="H26" s="5" t="n">
        <f aca="false">물고기!L15</f>
        <v>51.5113871635611</v>
      </c>
      <c r="I26" s="31" t="str">
        <f aca="false">물고기!O15</f>
        <v>고급</v>
      </c>
    </row>
    <row r="27" customFormat="false" ht="15" hidden="false" customHeight="false" outlineLevel="0" collapsed="false">
      <c r="A27" s="4" t="s">
        <v>223</v>
      </c>
      <c r="B27" s="4" t="s">
        <v>178</v>
      </c>
      <c r="C27" s="31" t="str">
        <f aca="false">물고기!B16</f>
        <v>우럭</v>
      </c>
      <c r="D27" s="31" t="str">
        <f aca="false">물고기!C16</f>
        <v>찌낚시</v>
      </c>
      <c r="E27" s="32" t="n">
        <v>12</v>
      </c>
      <c r="F27" s="29" t="n">
        <f aca="false">E27/SUMIF($A$14:$A$44,A27,$E$14:$E$44)</f>
        <v>0.120603015075377</v>
      </c>
      <c r="G27" s="20" t="n">
        <f aca="false">F27*H27</f>
        <v>12.1003547334849</v>
      </c>
      <c r="H27" s="5" t="n">
        <f aca="false">물고기!L16</f>
        <v>100.332107998479</v>
      </c>
      <c r="I27" s="31" t="str">
        <f aca="false">물고기!O16</f>
        <v>희귀</v>
      </c>
    </row>
    <row r="28" customFormat="false" ht="15" hidden="false" customHeight="false" outlineLevel="0" collapsed="false">
      <c r="A28" s="4" t="s">
        <v>223</v>
      </c>
      <c r="B28" s="4" t="s">
        <v>180</v>
      </c>
      <c r="C28" s="31" t="str">
        <f aca="false">물고기!B17</f>
        <v>감성돔</v>
      </c>
      <c r="D28" s="31" t="str">
        <f aca="false">물고기!C17</f>
        <v>찌낚시</v>
      </c>
      <c r="E28" s="32" t="n">
        <v>8</v>
      </c>
      <c r="F28" s="29" t="n">
        <f aca="false">E28/SUMIF($A$14:$A$44,A28,$E$14:$E$44)</f>
        <v>0.0804020100502513</v>
      </c>
      <c r="G28" s="20" t="n">
        <f aca="false">F28*H28</f>
        <v>25.6483258779228</v>
      </c>
      <c r="H28" s="5" t="n">
        <f aca="false">물고기!L17</f>
        <v>319.001053106665</v>
      </c>
      <c r="I28" s="31" t="str">
        <f aca="false">물고기!O17</f>
        <v>영웅</v>
      </c>
    </row>
    <row r="29" customFormat="false" ht="15" hidden="false" customHeight="false" outlineLevel="0" collapsed="false">
      <c r="A29" s="4" t="s">
        <v>223</v>
      </c>
      <c r="B29" s="4" t="s">
        <v>182</v>
      </c>
      <c r="C29" s="31" t="str">
        <f aca="false">물고기!B18</f>
        <v>농어</v>
      </c>
      <c r="D29" s="31" t="str">
        <f aca="false">물고기!C18</f>
        <v>릴낚시</v>
      </c>
      <c r="E29" s="32" t="n">
        <v>5</v>
      </c>
      <c r="F29" s="29" t="n">
        <f aca="false">E29/SUMIF($A$14:$A$44,A29,$E$14:$E$44)</f>
        <v>0.050251256281407</v>
      </c>
      <c r="G29" s="20" t="n">
        <f aca="false">F29*H29</f>
        <v>27.3098283915458</v>
      </c>
      <c r="H29" s="5" t="n">
        <f aca="false">물고기!L18</f>
        <v>543.465584991761</v>
      </c>
      <c r="I29" s="31" t="str">
        <f aca="false">물고기!O18</f>
        <v>영웅</v>
      </c>
    </row>
    <row r="30" customFormat="false" ht="15" hidden="false" customHeight="false" outlineLevel="0" collapsed="false">
      <c r="A30" s="4" t="s">
        <v>223</v>
      </c>
      <c r="B30" s="4" t="s">
        <v>184</v>
      </c>
      <c r="C30" s="31" t="str">
        <f aca="false">물고기!B19</f>
        <v>벵에돔</v>
      </c>
      <c r="D30" s="31" t="str">
        <f aca="false">물고기!C19</f>
        <v>찌낚시</v>
      </c>
      <c r="E30" s="32" t="n">
        <v>3.5</v>
      </c>
      <c r="F30" s="29" t="n">
        <f aca="false">E30/SUMIF($A$14:$A$44,A30,$E$14:$E$44)</f>
        <v>0.0351758793969849</v>
      </c>
      <c r="G30" s="20" t="n">
        <f aca="false">F30*H30</f>
        <v>16.4007879069259</v>
      </c>
      <c r="H30" s="5" t="n">
        <f aca="false">물고기!L19</f>
        <v>466.250970496894</v>
      </c>
      <c r="I30" s="31" t="str">
        <f aca="false">물고기!O19</f>
        <v>영웅</v>
      </c>
    </row>
    <row r="31" customFormat="false" ht="15" hidden="false" customHeight="false" outlineLevel="0" collapsed="false">
      <c r="A31" s="4" t="s">
        <v>223</v>
      </c>
      <c r="B31" s="4" t="s">
        <v>186</v>
      </c>
      <c r="C31" s="31" t="str">
        <f aca="false">물고기!B20</f>
        <v>돌돔</v>
      </c>
      <c r="D31" s="31" t="str">
        <f aca="false">물고기!C20</f>
        <v>찌낚시</v>
      </c>
      <c r="E31" s="32" t="n">
        <v>1</v>
      </c>
      <c r="F31" s="29" t="n">
        <f aca="false">E31/SUMIF($A$14:$A$44,A31,$E$14:$E$44)</f>
        <v>0.0100502512562814</v>
      </c>
      <c r="G31" s="20" t="n">
        <f aca="false">F31*H31</f>
        <v>13.5394987359156</v>
      </c>
      <c r="H31" s="5" t="n">
        <f aca="false">물고기!L20</f>
        <v>1347.1801242236</v>
      </c>
      <c r="I31" s="31" t="str">
        <f aca="false">물고기!O20</f>
        <v>전설</v>
      </c>
    </row>
    <row r="32" customFormat="false" ht="15" hidden="false" customHeight="false" outlineLevel="0" collapsed="false">
      <c r="A32" s="4" t="s">
        <v>225</v>
      </c>
      <c r="B32" s="4" t="s">
        <v>188</v>
      </c>
      <c r="C32" s="31" t="str">
        <f aca="false">물고기!B21</f>
        <v>갈치</v>
      </c>
      <c r="D32" s="31" t="str">
        <f aca="false">물고기!C21</f>
        <v>릴낚시</v>
      </c>
      <c r="E32" s="32" t="n">
        <v>30</v>
      </c>
      <c r="F32" s="29" t="n">
        <f aca="false">E32/SUMIF($A$14:$A$44,A32,$E$14:$E$44)</f>
        <v>0.315789473684211</v>
      </c>
      <c r="G32" s="20" t="n">
        <f aca="false">F32*H32</f>
        <v>47.5257353677005</v>
      </c>
      <c r="H32" s="5" t="n">
        <f aca="false">물고기!L21</f>
        <v>150.498161997718</v>
      </c>
      <c r="I32" s="31" t="str">
        <f aca="false">물고기!O21</f>
        <v>희귀</v>
      </c>
    </row>
    <row r="33" customFormat="false" ht="15" hidden="false" customHeight="false" outlineLevel="0" collapsed="false">
      <c r="A33" s="4" t="s">
        <v>225</v>
      </c>
      <c r="B33" s="4" t="s">
        <v>190</v>
      </c>
      <c r="C33" s="31" t="str">
        <f aca="false">물고기!B22</f>
        <v>광어</v>
      </c>
      <c r="D33" s="31" t="str">
        <f aca="false">물고기!C22</f>
        <v>릴낚시</v>
      </c>
      <c r="E33" s="32" t="n">
        <v>24</v>
      </c>
      <c r="F33" s="29" t="n">
        <f aca="false">E33/SUMIF($A$14:$A$44,A33,$E$14:$E$44)</f>
        <v>0.252631578947368</v>
      </c>
      <c r="G33" s="20" t="n">
        <f aca="false">F33*H33</f>
        <v>94.806700228833</v>
      </c>
      <c r="H33" s="5" t="n">
        <f aca="false">물고기!L22</f>
        <v>375.27652173913</v>
      </c>
      <c r="I33" s="31" t="str">
        <f aca="false">물고기!O22</f>
        <v>영웅</v>
      </c>
    </row>
    <row r="34" customFormat="false" ht="15" hidden="false" customHeight="false" outlineLevel="0" collapsed="false">
      <c r="A34" s="4" t="s">
        <v>225</v>
      </c>
      <c r="B34" s="4" t="s">
        <v>192</v>
      </c>
      <c r="C34" s="31" t="str">
        <f aca="false">물고기!B23</f>
        <v>참돔</v>
      </c>
      <c r="D34" s="31" t="str">
        <f aca="false">물고기!C23</f>
        <v>릴낚시</v>
      </c>
      <c r="E34" s="32" t="n">
        <v>18</v>
      </c>
      <c r="F34" s="29" t="n">
        <f aca="false">E34/SUMIF($A$14:$A$44,A34,$E$14:$E$44)</f>
        <v>0.189473684210526</v>
      </c>
      <c r="G34" s="20" t="n">
        <f aca="false">F34*H34</f>
        <v>140.604772801569</v>
      </c>
      <c r="H34" s="5" t="n">
        <f aca="false">물고기!L23</f>
        <v>742.080745341615</v>
      </c>
      <c r="I34" s="31" t="str">
        <f aca="false">물고기!O23</f>
        <v>영웅</v>
      </c>
    </row>
    <row r="35" customFormat="false" ht="15" hidden="false" customHeight="false" outlineLevel="0" collapsed="false">
      <c r="A35" s="4" t="s">
        <v>225</v>
      </c>
      <c r="B35" s="4" t="s">
        <v>194</v>
      </c>
      <c r="C35" s="31" t="str">
        <f aca="false">물고기!B24</f>
        <v>방어</v>
      </c>
      <c r="D35" s="31" t="str">
        <f aca="false">물고기!C24</f>
        <v>릴낚시</v>
      </c>
      <c r="E35" s="32" t="n">
        <v>13</v>
      </c>
      <c r="F35" s="29" t="n">
        <f aca="false">E35/SUMIF($A$14:$A$44,A35,$E$14:$E$44)</f>
        <v>0.136842105263158</v>
      </c>
      <c r="G35" s="20" t="n">
        <f aca="false">F35*H35</f>
        <v>162.407036613272</v>
      </c>
      <c r="H35" s="5" t="n">
        <f aca="false">물고기!L24</f>
        <v>1186.82065217391</v>
      </c>
      <c r="I35" s="31" t="str">
        <f aca="false">물고기!O24</f>
        <v>전설</v>
      </c>
    </row>
    <row r="36" customFormat="false" ht="15" hidden="false" customHeight="false" outlineLevel="0" collapsed="false">
      <c r="A36" s="4" t="s">
        <v>225</v>
      </c>
      <c r="B36" s="4" t="s">
        <v>196</v>
      </c>
      <c r="C36" s="31" t="str">
        <f aca="false">물고기!B25</f>
        <v>부시리</v>
      </c>
      <c r="D36" s="31" t="str">
        <f aca="false">물고기!C25</f>
        <v>릴낚시</v>
      </c>
      <c r="E36" s="32" t="n">
        <v>8</v>
      </c>
      <c r="F36" s="29" t="n">
        <f aca="false">E36/SUMIF($A$14:$A$44,A36,$E$14:$E$44)</f>
        <v>0.0842105263157895</v>
      </c>
      <c r="G36" s="20" t="n">
        <f aca="false">F36*H36</f>
        <v>155.98927754168</v>
      </c>
      <c r="H36" s="5" t="n">
        <f aca="false">물고기!L25</f>
        <v>1852.37267080745</v>
      </c>
      <c r="I36" s="31" t="str">
        <f aca="false">물고기!O25</f>
        <v>전설</v>
      </c>
    </row>
    <row r="37" customFormat="false" ht="15" hidden="false" customHeight="false" outlineLevel="0" collapsed="false">
      <c r="A37" s="4" t="s">
        <v>225</v>
      </c>
      <c r="B37" s="4" t="s">
        <v>198</v>
      </c>
      <c r="C37" s="31" t="str">
        <f aca="false">물고기!B26</f>
        <v>참다랑어</v>
      </c>
      <c r="D37" s="31" t="str">
        <f aca="false">물고기!C26</f>
        <v>릴낚시</v>
      </c>
      <c r="E37" s="32" t="n">
        <v>2</v>
      </c>
      <c r="F37" s="29" t="n">
        <f aca="false">E37/SUMIF($A$14:$A$44,A37,$E$14:$E$44)</f>
        <v>0.0210526315789474</v>
      </c>
      <c r="G37" s="20" t="n">
        <f aca="false">F37*H37</f>
        <v>156.93575743526</v>
      </c>
      <c r="H37" s="5" t="n">
        <f aca="false">물고기!L26</f>
        <v>7454.44847817484</v>
      </c>
      <c r="I37" s="31" t="str">
        <f aca="false">물고기!O26</f>
        <v>전설</v>
      </c>
    </row>
    <row r="38" customFormat="false" ht="15" hidden="false" customHeight="false" outlineLevel="0" collapsed="false">
      <c r="A38" s="4" t="s">
        <v>228</v>
      </c>
      <c r="B38" s="4" t="s">
        <v>192</v>
      </c>
      <c r="C38" s="31" t="str">
        <f aca="false">물고기!B23</f>
        <v>참돔</v>
      </c>
      <c r="D38" s="31" t="str">
        <f aca="false">물고기!C23</f>
        <v>릴낚시</v>
      </c>
      <c r="E38" s="32" t="n">
        <v>20</v>
      </c>
      <c r="F38" s="29" t="n">
        <f aca="false">E38/SUMIF($A$14:$A$44,A38,$E$14:$E$44)</f>
        <v>0.223463687150838</v>
      </c>
      <c r="G38" s="20" t="n">
        <f aca="false">F38*H38</f>
        <v>165.828099517679</v>
      </c>
      <c r="H38" s="5" t="n">
        <f aca="false">물고기!L23</f>
        <v>742.080745341615</v>
      </c>
      <c r="I38" s="31" t="str">
        <f aca="false">물고기!O23</f>
        <v>영웅</v>
      </c>
    </row>
    <row r="39" customFormat="false" ht="15" hidden="false" customHeight="false" outlineLevel="0" collapsed="false">
      <c r="A39" s="4" t="s">
        <v>228</v>
      </c>
      <c r="B39" s="4" t="s">
        <v>194</v>
      </c>
      <c r="C39" s="31" t="str">
        <f aca="false">물고기!B24</f>
        <v>방어</v>
      </c>
      <c r="D39" s="31" t="str">
        <f aca="false">물고기!C24</f>
        <v>릴낚시</v>
      </c>
      <c r="E39" s="32" t="n">
        <v>15</v>
      </c>
      <c r="F39" s="29" t="n">
        <f aca="false">E39/SUMIF($A$14:$A$44,A39,$E$14:$E$44)</f>
        <v>0.167597765363128</v>
      </c>
      <c r="G39" s="20" t="n">
        <f aca="false">F39*H39</f>
        <v>198.908489191159</v>
      </c>
      <c r="H39" s="5" t="n">
        <f aca="false">물고기!L24</f>
        <v>1186.82065217391</v>
      </c>
      <c r="I39" s="31" t="str">
        <f aca="false">물고기!O24</f>
        <v>전설</v>
      </c>
    </row>
    <row r="40" customFormat="false" ht="15" hidden="false" customHeight="false" outlineLevel="0" collapsed="false">
      <c r="A40" s="4" t="s">
        <v>228</v>
      </c>
      <c r="B40" s="4" t="s">
        <v>196</v>
      </c>
      <c r="C40" s="31" t="str">
        <f aca="false">물고기!B25</f>
        <v>부시리</v>
      </c>
      <c r="D40" s="31" t="str">
        <f aca="false">물고기!C25</f>
        <v>릴낚시</v>
      </c>
      <c r="E40" s="32" t="n">
        <v>12</v>
      </c>
      <c r="F40" s="29" t="n">
        <f aca="false">E40/SUMIF($A$14:$A$44,A40,$E$14:$E$44)</f>
        <v>0.134078212290503</v>
      </c>
      <c r="G40" s="20" t="n">
        <f aca="false">F40*H40</f>
        <v>248.362816197647</v>
      </c>
      <c r="H40" s="5" t="n">
        <f aca="false">물고기!L25</f>
        <v>1852.37267080745</v>
      </c>
      <c r="I40" s="31" t="str">
        <f aca="false">물고기!O25</f>
        <v>전설</v>
      </c>
    </row>
    <row r="41" customFormat="false" ht="15" hidden="false" customHeight="false" outlineLevel="0" collapsed="false">
      <c r="A41" s="4" t="s">
        <v>228</v>
      </c>
      <c r="B41" s="4" t="s">
        <v>203</v>
      </c>
      <c r="C41" s="31" t="str">
        <f aca="false">물고기!B28</f>
        <v>해운대 은갈치</v>
      </c>
      <c r="D41" s="31" t="str">
        <f aca="false">물고기!C28</f>
        <v>릴낚시</v>
      </c>
      <c r="E41" s="32" t="n">
        <v>20</v>
      </c>
      <c r="F41" s="29" t="n">
        <f aca="false">E41/SUMIF($A$14:$A$44,A41,$E$14:$E$44)</f>
        <v>0.223463687150838</v>
      </c>
      <c r="G41" s="20" t="n">
        <f aca="false">F41*H41</f>
        <v>345.327735174711</v>
      </c>
      <c r="H41" s="5" t="n">
        <f aca="false">물고기!L28</f>
        <v>1545.34161490683</v>
      </c>
      <c r="I41" s="31" t="str">
        <f aca="false">물고기!O28</f>
        <v>전설</v>
      </c>
    </row>
    <row r="42" customFormat="false" ht="15" hidden="false" customHeight="false" outlineLevel="0" collapsed="false">
      <c r="A42" s="4" t="s">
        <v>228</v>
      </c>
      <c r="B42" s="4" t="s">
        <v>200</v>
      </c>
      <c r="C42" s="31" t="str">
        <f aca="false">물고기!B27</f>
        <v>황금 고등어</v>
      </c>
      <c r="D42" s="31" t="str">
        <f aca="false">물고기!C27</f>
        <v>릴낚시</v>
      </c>
      <c r="E42" s="32" t="n">
        <v>15</v>
      </c>
      <c r="F42" s="29" t="n">
        <f aca="false">E42/SUMIF($A$14:$A$44,A42,$E$14:$E$44)</f>
        <v>0.167597765363128</v>
      </c>
      <c r="G42" s="20" t="n">
        <f aca="false">F42*H42</f>
        <v>364.559088577065</v>
      </c>
      <c r="H42" s="5" t="n">
        <f aca="false">물고기!L27</f>
        <v>2175.20256184315</v>
      </c>
      <c r="I42" s="31" t="str">
        <f aca="false">물고기!O27</f>
        <v>전설</v>
      </c>
    </row>
    <row r="43" customFormat="false" ht="15" hidden="false" customHeight="false" outlineLevel="0" collapsed="false">
      <c r="A43" s="4" t="s">
        <v>228</v>
      </c>
      <c r="B43" s="4" t="s">
        <v>205</v>
      </c>
      <c r="C43" s="31" t="str">
        <f aca="false">물고기!B29</f>
        <v>태종대 다금바리</v>
      </c>
      <c r="D43" s="31" t="str">
        <f aca="false">물고기!C29</f>
        <v>찌낚시</v>
      </c>
      <c r="E43" s="32" t="n">
        <v>6</v>
      </c>
      <c r="F43" s="29" t="n">
        <f aca="false">E43/SUMIF($A$14:$A$44,A43,$E$14:$E$44)</f>
        <v>0.0670391061452514</v>
      </c>
      <c r="G43" s="20" t="n">
        <f aca="false">F43*H43</f>
        <v>337.666507257863</v>
      </c>
      <c r="H43" s="5" t="n">
        <f aca="false">물고기!L29</f>
        <v>5036.85873326313</v>
      </c>
      <c r="I43" s="31" t="str">
        <f aca="false">물고기!O29</f>
        <v>전설</v>
      </c>
    </row>
    <row r="44" customFormat="false" ht="15" hidden="false" customHeight="false" outlineLevel="0" collapsed="false">
      <c r="A44" s="4" t="s">
        <v>228</v>
      </c>
      <c r="B44" s="4" t="s">
        <v>207</v>
      </c>
      <c r="C44" s="31" t="str">
        <f aca="false">물고기!B30</f>
        <v>오륙도 돗돔</v>
      </c>
      <c r="D44" s="31" t="str">
        <f aca="false">물고기!C30</f>
        <v>릴낚시</v>
      </c>
      <c r="E44" s="32" t="n">
        <v>1.5</v>
      </c>
      <c r="F44" s="29" t="n">
        <f aca="false">E44/SUMIF($A$14:$A$44,A44,$E$14:$E$44)</f>
        <v>0.0167597765363129</v>
      </c>
      <c r="G44" s="20" t="n">
        <f aca="false">F44*H44</f>
        <v>284.154984558798</v>
      </c>
      <c r="H44" s="5" t="n">
        <f aca="false">물고기!L30</f>
        <v>16954.5807453416</v>
      </c>
      <c r="I44" s="31" t="str">
        <f aca="false">물고기!O30</f>
        <v>전설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2026-10-08T19:39:12Z</dcterms:created>
  <dc:creator>openpyxl</dc:creator>
  <dc:description/>
  <dc:language>en-US</dc:language>
  <cp:lastModifiedBy/>
  <dcterms:modified xsi:type="dcterms:W3CDTF">2026-10-08T19:39:13Z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