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가정" sheetId="2" state="visible" r:id="rId4"/>
    <sheet name="등급" sheetId="3" state="visible" r:id="rId5"/>
    <sheet name="장비" sheetId="4" state="visible" r:id="rId6"/>
    <sheet name="물고기" sheetId="5" state="visible" r:id="rId7"/>
    <sheet name="낚시터" sheetId="6" state="visible" r:id="rId8"/>
    <sheet name="그물" sheetId="7" state="visible" r:id="rId9"/>
    <sheet name="보스" sheetId="8" state="visible" r:id="rId10"/>
    <sheet name="메달" sheetId="9" state="visible" r:id="rId11"/>
    <sheet name="시간·날씨" sheetId="10" state="visible" r:id="rId12"/>
    <sheet name="콘텐츠" sheetId="11" state="visible" r:id="rId13"/>
    <sheet name="도감 보상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4" authorId="0">
      <text>
        <r>
          <rPr>
            <sz val="10"/>
            <rFont val="Arial"/>
            <family val="2"/>
          </rPr>
          <t xml:space="preserve">E[</t>
        </r>
        <r>
          <rPr>
            <sz val="10"/>
            <rFont val="Noto Sans CJK SC"/>
            <family val="2"/>
          </rPr>
          <t xml:space="preserve">길이²</t>
        </r>
        <r>
          <rPr>
            <sz val="10"/>
            <rFont val="Arial"/>
            <family val="2"/>
          </rPr>
          <t xml:space="preserve">] = a² + 2a(b−a)/(1+</t>
        </r>
        <r>
          <rPr>
            <sz val="10"/>
            <rFont val="Noto Sans CJK SC"/>
            <family val="2"/>
          </rPr>
          <t xml:space="preserve">지수</t>
        </r>
        <r>
          <rPr>
            <sz val="10"/>
            <rFont val="Arial"/>
            <family val="2"/>
          </rPr>
          <t xml:space="preserve">) + (b−a)²/(1+2×</t>
        </r>
        <r>
          <rPr>
            <sz val="10"/>
            <rFont val="Noto Sans CJK SC"/>
            <family val="2"/>
          </rPr>
          <t xml:space="preserve">지수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반올림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방식 보너스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미끼 행운은 빼고 계산한 근사값입니다</t>
        </r>
        <r>
          <rPr>
            <sz val="10"/>
            <rFont val="Arial"/>
            <family val="2"/>
          </rPr>
          <t xml:space="preserve">.</t>
        </r>
      </text>
    </comment>
    <comment ref="R4" authorId="0">
      <text>
        <r>
          <rPr>
            <sz val="10"/>
            <rFont val="Noto Sans CJK SC"/>
            <family val="2"/>
          </rPr>
          <t xml:space="preserve">선호 방식으로 낚을 때 기준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비선호 방식이면 가정 시트의 비선호 배수를 곱합니다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Noto Sans CJK SC"/>
            <family val="2"/>
          </rPr>
          <t xml:space="preserve">튜토리얼 보상을 뺀 금액 기준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5" authorId="0">
      <text>
        <r>
          <rPr>
            <sz val="10"/>
            <rFont val="Noto Sans CJK SC"/>
            <family val="2"/>
          </rPr>
          <t xml:space="preserve">반올림을 뺀 근사값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게임 안에서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만 번 굴린 평균과 </t>
        </r>
        <r>
          <rPr>
            <sz val="10"/>
            <rFont val="Arial"/>
            <family val="2"/>
          </rPr>
          <t xml:space="preserve">1~3% </t>
        </r>
        <r>
          <rPr>
            <sz val="10"/>
            <rFont val="Noto Sans CJK SC"/>
            <family val="2"/>
          </rPr>
          <t xml:space="preserve">안에서 맞습니다</t>
        </r>
        <r>
          <rPr>
            <sz val="10"/>
            <rFont val="Arial"/>
            <family val="2"/>
          </rPr>
          <t xml:space="preserve">.</t>
        </r>
      </text>
    </comment>
    <comment ref="Q5" authorId="0">
      <text>
        <r>
          <rPr>
            <sz val="10"/>
            <rFont val="Noto Sans CJK SC"/>
            <family val="2"/>
          </rPr>
          <t xml:space="preserve">그 레벨로 올리는 비용을 그 레벨의 분당 수입으로 나눈 값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게임을 켜 둔 채 칸이 안 찬다고 가정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6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단계 값</t>
        </r>
        <r>
          <rPr>
            <sz val="10"/>
            <rFont val="Arial"/>
            <family val="2"/>
          </rPr>
          <t xml:space="preserve">. 3</t>
        </r>
        <r>
          <rPr>
            <sz val="10"/>
            <rFont val="Noto Sans CJK SC"/>
            <family val="2"/>
          </rPr>
          <t xml:space="preserve">단계는 </t>
        </r>
        <r>
          <rPr>
            <sz val="10"/>
            <rFont val="Arial"/>
            <family val="2"/>
          </rPr>
          <t xml:space="preserve">0.14×</t>
        </r>
        <r>
          <rPr>
            <sz val="10"/>
            <rFont val="Noto Sans CJK SC"/>
            <family val="2"/>
          </rPr>
          <t xml:space="preserve">난이도²</t>
        </r>
        <r>
          <rPr>
            <sz val="10"/>
            <rFont val="Arial"/>
            <family val="2"/>
          </rPr>
          <t xml:space="preserve">×1.5. </t>
        </r>
        <r>
          <rPr>
            <sz val="10"/>
            <rFont val="Noto Sans CJK SC"/>
            <family val="2"/>
          </rPr>
          <t xml:space="preserve">일반 물고기 기본 당김은 </t>
        </r>
        <r>
          <rPr>
            <sz val="10"/>
            <rFont val="Arial"/>
            <family val="2"/>
          </rPr>
          <t xml:space="preserve">0.24+</t>
        </r>
        <r>
          <rPr>
            <sz val="10"/>
            <rFont val="Noto Sans CJK SC"/>
            <family val="2"/>
          </rPr>
          <t xml:space="preserve">난이도</t>
        </r>
        <r>
          <rPr>
            <sz val="10"/>
            <rFont val="Arial"/>
            <family val="2"/>
          </rPr>
          <t xml:space="preserve">×0.36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Noto Sans CJK SC"/>
            <family val="2"/>
          </rPr>
          <t xml:space="preserve">측정값이라 수식이 아닙니다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날씨 이벤트 없는 상태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위 값을 바꾸면 게임에서 다시 재야 합니다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Noto Sans CJK SC"/>
            <family val="2"/>
          </rPr>
          <t xml:space="preserve">예시 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알래스카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마리 기대가 정도</t>
        </r>
      </text>
    </comment>
    <comment ref="B50" authorId="0">
      <text>
        <r>
          <rPr>
            <sz val="10"/>
            <rFont val="Noto Sans CJK SC"/>
            <family val="2"/>
          </rPr>
          <t xml:space="preserve">예전엔 부산 이용권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장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낚시터를 건너뛸 수 있어 대물 미끼로 바꿈</t>
        </r>
      </text>
    </comment>
  </commentList>
</comments>
</file>

<file path=xl/sharedStrings.xml><?xml version="1.0" encoding="utf-8"?>
<sst xmlns="http://schemas.openxmlformats.org/spreadsheetml/2006/main" count="867" uniqueCount="555">
  <si>
    <t xml:space="preserve">부캉이 낚시터 밸런스 요약</t>
  </si>
  <si>
    <t xml:space="preserve">숫자는 다른 시트와 연결돼 있어 가정·물고기·장비 시트 값을 바꾸면 함께 바뀝니다.</t>
  </si>
  <si>
    <t xml:space="preserve">항목</t>
  </si>
  <si>
    <t xml:space="preserve">값</t>
  </si>
  <si>
    <t xml:space="preserve">메모</t>
  </si>
  <si>
    <t xml:space="preserve">실내 낚시터 1마리 기대 판매가 (원)</t>
  </si>
  <si>
    <t xml:space="preserve">떡밥·방식 무관 기준</t>
  </si>
  <si>
    <t xml:space="preserve">하천 1마리 기대 판매가 (원)</t>
  </si>
  <si>
    <t xml:space="preserve">강 1마리 기대 판매가 (원)</t>
  </si>
  <si>
    <t xml:space="preserve">방파제 1마리 기대 판매가 (원)</t>
  </si>
  <si>
    <t xml:space="preserve">독도 1마리 기대 판매가 (원)</t>
  </si>
  <si>
    <t xml:space="preserve">배낚시 1마리 기대 판매가 (원)</t>
  </si>
  <si>
    <t xml:space="preserve">아마존 1마리 기대 판매가 (원)</t>
  </si>
  <si>
    <t xml:space="preserve">알래스카 1마리 기대 판매가 (원)</t>
  </si>
  <si>
    <t xml:space="preserve">부산 1마리 기대 판매가 (원)</t>
  </si>
  <si>
    <t xml:space="preserve">실내 낚시터 → 하천 해금까지 기대 마릿수</t>
  </si>
  <si>
    <t xml:space="preserve">장비 강화에 돈을 안 쓴다고 가정</t>
  </si>
  <si>
    <t xml:space="preserve">하천 → 강 해금까지 기대 마릿수</t>
  </si>
  <si>
    <t xml:space="preserve">강 → 방파제 해금까지 기대 마릿수</t>
  </si>
  <si>
    <t xml:space="preserve">방파제 → 독도 해금까지 기대 마릿수</t>
  </si>
  <si>
    <t xml:space="preserve">독도 → 배낚시 해금까지 기대 마릿수</t>
  </si>
  <si>
    <t xml:space="preserve">배낚시 → 아마존 해금까지 기대 마릿수</t>
  </si>
  <si>
    <t xml:space="preserve">아마존 → 알래스카 해금까지 기대 마릿수</t>
  </si>
  <si>
    <t xml:space="preserve">장비 4종 10단계까지 총비용 (원)</t>
  </si>
  <si>
    <t xml:space="preserve">알래스카로 총비용을 벌려면 기대 마릿수</t>
  </si>
  <si>
    <t xml:space="preserve">알래스카 기대 판매가 기준</t>
  </si>
  <si>
    <t xml:space="preserve">부캉이까지 기대 입질 수 (떡밥)</t>
  </si>
  <si>
    <t xml:space="preserve">부캉이까지 기대 입질 수 (황금 미끼)</t>
  </si>
  <si>
    <t xml:space="preserve">부캉이까지 기대 입질 수 (황금 미끼 +5)</t>
  </si>
  <si>
    <t xml:space="preserve">알래스카 기대 판매가: 가장 가까이 (원)</t>
  </si>
  <si>
    <t xml:space="preserve">캐스팅 게이지 0</t>
  </si>
  <si>
    <t xml:space="preserve">알래스카 기대 판매가: 가장 멀리 (원)</t>
  </si>
  <si>
    <t xml:space="preserve">캐스팅 게이지 끝</t>
  </si>
  <si>
    <t xml:space="preserve">그물 전체 강화 비용 (원)</t>
  </si>
  <si>
    <t xml:space="preserve">작은 그물 ~ 황금 그물</t>
  </si>
  <si>
    <t xml:space="preserve">작은 그물 배낚시 분당 수입 (원)</t>
  </si>
  <si>
    <t xml:space="preserve">황금 그물 배낚시 분당 수입 (원)</t>
  </si>
  <si>
    <t xml:space="preserve">황금 그물 알래스카 분당 수입 (원)</t>
  </si>
  <si>
    <t xml:space="preserve">부산 이용권 1장 시간 (초)</t>
  </si>
  <si>
    <t xml:space="preserve">부산 도감 완성 시 +30초</t>
  </si>
  <si>
    <t xml:space="preserve">살림망 칸 수</t>
  </si>
  <si>
    <t xml:space="preserve">자동 판매가 생겨 도감 보상에서 뺌</t>
  </si>
  <si>
    <t xml:space="preserve">기본 대 적정 구간 (가장 쉬운 붕어)</t>
  </si>
  <si>
    <t xml:space="preserve">장력 0~1 중 초록 구간 폭</t>
  </si>
  <si>
    <t xml:space="preserve">기본 대 적정 구간 (오륙도 돗돔)</t>
  </si>
  <si>
    <t xml:space="preserve">최고 대 적정 구간 (오륙도 돗돔)</t>
  </si>
  <si>
    <t xml:space="preserve">가정 (값을 바꾸면 모든 시트가 다시 계산됩니다)</t>
  </si>
  <si>
    <t xml:space="preserve">파란 글자·노란 칸이 입력값입니다. 게임 값은 index.html 맨 위 CONFIG에 있고, 이 표를 바꿔도 게임은 바뀌지 않습니다.</t>
  </si>
  <si>
    <t xml:space="preserve">출처 / 설명</t>
  </si>
  <si>
    <t xml:space="preserve">CONFIG.keepNetSize</t>
  </si>
  <si>
    <t xml:space="preserve">크기 분포 지수 (떡밥)</t>
  </si>
  <si>
    <t xml:space="preserve">rollCatch: t = 난수^지수, 길이 = 최소 + (최대−최소)×t. 지수가 클수록 작은 개체가 흔함</t>
  </si>
  <si>
    <t xml:space="preserve">크기 지수 행운 감소</t>
  </si>
  <si>
    <t xml:space="preserve">지수 = max(0.9, 1.8 − 미끼 행운×0.6)</t>
  </si>
  <si>
    <t xml:space="preserve">희귀 가중치 행운 계수</t>
  </si>
  <si>
    <t xml:space="preserve">출현 가중치 × (1 + 행운×등급번호×0.35)</t>
  </si>
  <si>
    <t xml:space="preserve">선호 방식 출현 배수</t>
  </si>
  <si>
    <t xml:space="preserve">CONFIG.methodSpawnBonus — 지금 방식을 좋아하는 물고기가 더 자주 나옴</t>
  </si>
  <si>
    <t xml:space="preserve">부캉이 기본 확률 (입질 1회당)</t>
  </si>
  <si>
    <t xml:space="preserve">CONFIG.bukangi.baseChance</t>
  </si>
  <si>
    <t xml:space="preserve">부캉이 행운 배수</t>
  </si>
  <si>
    <t xml:space="preserve">확률 = 기본 × (1 + 미끼 행운×배수)</t>
  </si>
  <si>
    <t xml:space="preserve">CONFIG.busan.ticketSeconds</t>
  </si>
  <si>
    <t xml:space="preserve">튜토리얼 보상 (원)</t>
  </si>
  <si>
    <t xml:space="preserve">CONFIG.tutorial.reward</t>
  </si>
  <si>
    <t xml:space="preserve">거리 1.0 = 몇 m</t>
  </si>
  <si>
    <t xml:space="preserve">CONFIG.maxMeters (화면 표시용)</t>
  </si>
  <si>
    <t xml:space="preserve">난이도 1일 때 장력 구간 축소</t>
  </si>
  <si>
    <t xml:space="preserve">CONFIG.reel.zoneShrinkByDiff</t>
  </si>
  <si>
    <t xml:space="preserve">선호 방식 장력 구간 배수</t>
  </si>
  <si>
    <t xml:space="preserve">CONFIG.methodMatch.zoneMul</t>
  </si>
  <si>
    <t xml:space="preserve">비선호 방식 장력 구간 배수</t>
  </si>
  <si>
    <t xml:space="preserve">CONFIG.methodMismatch.zoneMul</t>
  </si>
  <si>
    <t xml:space="preserve">선호 방식 저항 배수</t>
  </si>
  <si>
    <t xml:space="preserve">CONFIG.methodMatch.forceMul</t>
  </si>
  <si>
    <t xml:space="preserve">비선호 방식 저항 배수</t>
  </si>
  <si>
    <t xml:space="preserve">CONFIG.methodMismatch.forceMul</t>
  </si>
  <si>
    <t xml:space="preserve">물고기 기본 당김</t>
  </si>
  <si>
    <t xml:space="preserve">CONFIG.reel.baseForce (+난이도×hardForce)</t>
  </si>
  <si>
    <t xml:space="preserve">난이도 비례 당김</t>
  </si>
  <si>
    <t xml:space="preserve">CONFIG.reel.hardForce</t>
  </si>
  <si>
    <t xml:space="preserve">감기 속도 분모 기본값</t>
  </si>
  <si>
    <t xml:space="preserve">실제 감기 속도 = 릴 속도 / (0.75 + 난이도×0.9)</t>
  </si>
  <si>
    <t xml:space="preserve">감기 속도 분모 난이도 계수</t>
  </si>
  <si>
    <t xml:space="preserve">위와 같음</t>
  </si>
  <si>
    <t xml:space="preserve">느슨함 허용 시간 (초)</t>
  </si>
  <si>
    <t xml:space="preserve">CONFIG.reel.slackLimit — 넘으면 바늘 털림</t>
  </si>
  <si>
    <t xml:space="preserve">난이도: 저항 가중</t>
  </si>
  <si>
    <t xml:space="preserve">난이도 = 저항×0.7 + 등급번호×0.05 + 크기t×0.12 (최대 1)</t>
  </si>
  <si>
    <t xml:space="preserve">난이도: 등급당 가중</t>
  </si>
  <si>
    <t xml:space="preserve">난이도: 크기 가중</t>
  </si>
  <si>
    <t xml:space="preserve">캐스팅 등급 배율</t>
  </si>
  <si>
    <t xml:space="preserve">CONFIG.cast.gradeBias — 가중치 × (1+배율)^((파워−0.5)×2×기준등급번호). 파워 0.5면 변화 없음</t>
  </si>
  <si>
    <t xml:space="preserve">가장 가까이 표시 거리 (m)</t>
  </si>
  <si>
    <t xml:space="preserve">CONFIG.cast.nearM</t>
  </si>
  <si>
    <t xml:space="preserve">가장 멀리 표시 거리 (m)</t>
  </si>
  <si>
    <t xml:space="preserve">CONFIG.cast.farM</t>
  </si>
  <si>
    <t xml:space="preserve">가까이 던졌을 때 시작 거리 배수</t>
  </si>
  <si>
    <t xml:space="preserve">CONFIG.cast.startDistNear — 걸린 뒤 끌어올 거리</t>
  </si>
  <si>
    <t xml:space="preserve">그물: 꺼 둔 동안 최대 진행 시간 (시간)</t>
  </si>
  <si>
    <t xml:space="preserve">CONFIG.autoNet.maxOfflineHours</t>
  </si>
  <si>
    <t xml:space="preserve">멀리 던졌을 때 시작 거리 배수</t>
  </si>
  <si>
    <t xml:space="preserve">CONFIG.cast.startDistFar — 도망 거리(1.3)에 더 가까워 위험↑</t>
  </si>
  <si>
    <t xml:space="preserve">등급 기준</t>
  </si>
  <si>
    <t xml:space="preserve">판매 가격이 최소 가격 이상이면 해당 등급입니다. 같은 종이라도 크기에 따라 등급이 달라집니다.</t>
  </si>
  <si>
    <t xml:space="preserve">등급</t>
  </si>
  <si>
    <t xml:space="preserve">최소 가격 (원)</t>
  </si>
  <si>
    <t xml:space="preserve">표시 색</t>
  </si>
  <si>
    <t xml:space="preserve">최대 크기 기준 종 수</t>
  </si>
  <si>
    <t xml:space="preserve">일반</t>
  </si>
  <si>
    <t xml:space="preserve">#a9b4ba</t>
  </si>
  <si>
    <t xml:space="preserve">고급</t>
  </si>
  <si>
    <t xml:space="preserve">#5cc27a</t>
  </si>
  <si>
    <t xml:space="preserve">희귀</t>
  </si>
  <si>
    <t xml:space="preserve">#4aa3ff</t>
  </si>
  <si>
    <t xml:space="preserve">영웅</t>
  </si>
  <si>
    <t xml:space="preserve">#b678ff</t>
  </si>
  <si>
    <t xml:space="preserve">전설</t>
  </si>
  <si>
    <t xml:space="preserve">#ffb627</t>
  </si>
  <si>
    <t xml:space="preserve">특별</t>
  </si>
  <si>
    <t xml:space="preserve">부캉이 전용</t>
  </si>
  <si>
    <t xml:space="preserve">#ff7eb6</t>
  </si>
  <si>
    <t xml:space="preserve">장비 강화</t>
  </si>
  <si>
    <t xml:space="preserve">레벨 1은 처음부터 가진 장비입니다. 비용은 그 레벨로 올릴 때 드는 금액입니다.</t>
  </si>
  <si>
    <t xml:space="preserve">장비</t>
  </si>
  <si>
    <t xml:space="preserve">레벨</t>
  </si>
  <si>
    <t xml:space="preserve">이름</t>
  </si>
  <si>
    <t xml:space="preserve">강화 비용 (원)</t>
  </si>
  <si>
    <t xml:space="preserve">누적 비용 (원)</t>
  </si>
  <si>
    <t xml:space="preserve">수치</t>
  </si>
  <si>
    <t xml:space="preserve">수치 뜻</t>
  </si>
  <si>
    <t xml:space="preserve">부캉이 확률
(입질 1회당)</t>
  </si>
  <si>
    <t xml:space="preserve">부캉이까지
기대 입질 수</t>
  </si>
  <si>
    <t xml:space="preserve">낚싯대</t>
  </si>
  <si>
    <t xml:space="preserve">일반 낚싯대</t>
  </si>
  <si>
    <t xml:space="preserve">적정 장력 구간 폭 (대를 세우면 돌진 흡수 30%)</t>
  </si>
  <si>
    <t xml:space="preserve">카본 낚싯대</t>
  </si>
  <si>
    <t xml:space="preserve">적정 장력 구간 폭 (대를 세우면 돌진 흡수 38%)</t>
  </si>
  <si>
    <t xml:space="preserve">강화 카본대</t>
  </si>
  <si>
    <t xml:space="preserve">적정 장력 구간 폭 (대를 세우면 돌진 흡수 45%)</t>
  </si>
  <si>
    <t xml:space="preserve">마스터 로드</t>
  </si>
  <si>
    <t xml:space="preserve">적정 장력 구간 폭 (대를 세우면 돌진 흡수 52%)</t>
  </si>
  <si>
    <t xml:space="preserve">전설의 장대</t>
  </si>
  <si>
    <t xml:space="preserve">적정 장력 구간 폭 (대를 세우면 돌진 흡수 60%)</t>
  </si>
  <si>
    <t xml:space="preserve">전설의 장대 +1</t>
  </si>
  <si>
    <t xml:space="preserve">적정 장력 구간 폭 (대를 세우면 돌진 흡수 62%)</t>
  </si>
  <si>
    <t xml:space="preserve">전설의 장대 +2</t>
  </si>
  <si>
    <t xml:space="preserve">적정 장력 구간 폭 (대를 세우면 돌진 흡수 64%)</t>
  </si>
  <si>
    <t xml:space="preserve">전설의 장대 +3</t>
  </si>
  <si>
    <t xml:space="preserve">적정 장력 구간 폭 (대를 세우면 돌진 흡수 66%)</t>
  </si>
  <si>
    <t xml:space="preserve">전설의 장대 +4</t>
  </si>
  <si>
    <t xml:space="preserve">적정 장력 구간 폭 (대를 세우면 돌진 흡수 68%)</t>
  </si>
  <si>
    <t xml:space="preserve">전설의 장대 +5</t>
  </si>
  <si>
    <t xml:space="preserve">적정 장력 구간 폭 (대를 세우면 돌진 흡수 70%)</t>
  </si>
  <si>
    <t xml:space="preserve">릴</t>
  </si>
  <si>
    <t xml:space="preserve">기본 스피닝릴</t>
  </si>
  <si>
    <t xml:space="preserve">감기 속도 (거리/초)</t>
  </si>
  <si>
    <t xml:space="preserve">정밀 스피닝릴</t>
  </si>
  <si>
    <t xml:space="preserve">하이기어 릴</t>
  </si>
  <si>
    <t xml:space="preserve">전동 릴</t>
  </si>
  <si>
    <t xml:space="preserve">명인의 릴</t>
  </si>
  <si>
    <t xml:space="preserve">명인의 릴 +1</t>
  </si>
  <si>
    <t xml:space="preserve">명인의 릴 +2</t>
  </si>
  <si>
    <t xml:space="preserve">명인의 릴 +3</t>
  </si>
  <si>
    <t xml:space="preserve">명인의 릴 +4</t>
  </si>
  <si>
    <t xml:space="preserve">명인의 릴 +5</t>
  </si>
  <si>
    <t xml:space="preserve">낚싯줄</t>
  </si>
  <si>
    <t xml:space="preserve">나일론 2호</t>
  </si>
  <si>
    <t xml:space="preserve">장력 초과를 버티는 시간 (초)</t>
  </si>
  <si>
    <t xml:space="preserve">나일론 4호</t>
  </si>
  <si>
    <t xml:space="preserve">카본 5호</t>
  </si>
  <si>
    <t xml:space="preserve">PE 3호</t>
  </si>
  <si>
    <t xml:space="preserve">초강력 PE</t>
  </si>
  <si>
    <t xml:space="preserve">초강력 PE +1</t>
  </si>
  <si>
    <t xml:space="preserve">초강력 PE +2</t>
  </si>
  <si>
    <t xml:space="preserve">초강력 PE +3</t>
  </si>
  <si>
    <t xml:space="preserve">초강력 PE +4</t>
  </si>
  <si>
    <t xml:space="preserve">초강력 PE +5</t>
  </si>
  <si>
    <t xml:space="preserve">미끼</t>
  </si>
  <si>
    <t xml:space="preserve">떡밥</t>
  </si>
  <si>
    <t xml:space="preserve">미끼 행운 (희귀 출현·큰 개체·부캉이)</t>
  </si>
  <si>
    <t xml:space="preserve">지렁이</t>
  </si>
  <si>
    <t xml:space="preserve">크릴</t>
  </si>
  <si>
    <t xml:space="preserve">생미끼</t>
  </si>
  <si>
    <t xml:space="preserve">황금 미끼</t>
  </si>
  <si>
    <t xml:space="preserve">황금 미끼 +1</t>
  </si>
  <si>
    <t xml:space="preserve">황금 미끼 +2</t>
  </si>
  <si>
    <t xml:space="preserve">황금 미끼 +3</t>
  </si>
  <si>
    <t xml:space="preserve">황금 미끼 +4</t>
  </si>
  <si>
    <t xml:space="preserve">황금 미끼 +5</t>
  </si>
  <si>
    <t xml:space="preserve">전체 최고 등급까지 합계</t>
  </si>
  <si>
    <t xml:space="preserve">물고기 표</t>
  </si>
  <si>
    <t xml:space="preserve">가격은 평균 길이 기준가 × (길이 ÷ 평균 길이)². 기대 판매가는 떡밥(행운 0) 기준 크기 분포로 계산합니다.</t>
  </si>
  <si>
    <t xml:space="preserve">ID</t>
  </si>
  <si>
    <t xml:space="preserve">선호 방식</t>
  </si>
  <si>
    <t xml:space="preserve">부산 전용</t>
  </si>
  <si>
    <t xml:space="preserve">최소 길이
(cm)</t>
  </si>
  <si>
    <t xml:space="preserve">최대 길이
(cm)</t>
  </si>
  <si>
    <t xml:space="preserve">기준가
(원)</t>
  </si>
  <si>
    <t xml:space="preserve">저항
(0~1)</t>
  </si>
  <si>
    <t xml:space="preserve">평균 길이
(cm)</t>
  </si>
  <si>
    <t xml:space="preserve">최소 크기
가격 (원)</t>
  </si>
  <si>
    <t xml:space="preserve">최대 크기
가격 (원)</t>
  </si>
  <si>
    <t xml:space="preserve">1마리 기대
판매가 (원)</t>
  </si>
  <si>
    <t xml:space="preserve">최소 등급</t>
  </si>
  <si>
    <t xml:space="preserve">등급 번호
(최대)</t>
  </si>
  <si>
    <t xml:space="preserve">최대 등급</t>
  </si>
  <si>
    <t xml:space="preserve">난이도
최소</t>
  </si>
  <si>
    <t xml:space="preserve">난이도
최대</t>
  </si>
  <si>
    <t xml:space="preserve">적정 구간
기본 대·최대 난이도</t>
  </si>
  <si>
    <t xml:space="preserve">적정 구간
최고 대·최대 난이도</t>
  </si>
  <si>
    <t xml:space="preserve">기준가 등급
번호 (출현 가중)</t>
  </si>
  <si>
    <t xml:space="preserve">bungeo</t>
  </si>
  <si>
    <t xml:space="preserve">붕어</t>
  </si>
  <si>
    <t xml:space="preserve">찌낚시</t>
  </si>
  <si>
    <t xml:space="preserve">hyangeo</t>
  </si>
  <si>
    <t xml:space="preserve">향어</t>
  </si>
  <si>
    <t xml:space="preserve">ingeo</t>
  </si>
  <si>
    <t xml:space="preserve">잉어</t>
  </si>
  <si>
    <t xml:space="preserve">pirami</t>
  </si>
  <si>
    <t xml:space="preserve">피라미</t>
  </si>
  <si>
    <t xml:space="preserve">megi</t>
  </si>
  <si>
    <t xml:space="preserve">메기</t>
  </si>
  <si>
    <t xml:space="preserve">릴낚시</t>
  </si>
  <si>
    <t xml:space="preserve">sogari</t>
  </si>
  <si>
    <t xml:space="preserve">쏘가리</t>
  </si>
  <si>
    <t xml:space="preserve">jangeo</t>
  </si>
  <si>
    <t xml:space="preserve">민물장어</t>
  </si>
  <si>
    <t xml:space="preserve">cheolgap</t>
  </si>
  <si>
    <t xml:space="preserve">철갑상어</t>
  </si>
  <si>
    <t xml:space="preserve">mangdung</t>
  </si>
  <si>
    <t xml:space="preserve">망둥어</t>
  </si>
  <si>
    <t xml:space="preserve">jeongaengi</t>
  </si>
  <si>
    <t xml:space="preserve">전갱이</t>
  </si>
  <si>
    <t xml:space="preserve">godeungeo</t>
  </si>
  <si>
    <t xml:space="preserve">고등어</t>
  </si>
  <si>
    <t xml:space="preserve">ureok</t>
  </si>
  <si>
    <t xml:space="preserve">우럭</t>
  </si>
  <si>
    <t xml:space="preserve">gamseong</t>
  </si>
  <si>
    <t xml:space="preserve">감성돔</t>
  </si>
  <si>
    <t xml:space="preserve">nongeo</t>
  </si>
  <si>
    <t xml:space="preserve">농어</t>
  </si>
  <si>
    <t xml:space="preserve">bengedom</t>
  </si>
  <si>
    <t xml:space="preserve">벵에돔</t>
  </si>
  <si>
    <t xml:space="preserve">doldom</t>
  </si>
  <si>
    <t xml:space="preserve">돌돔</t>
  </si>
  <si>
    <t xml:space="preserve">galchi</t>
  </si>
  <si>
    <t xml:space="preserve">갈치</t>
  </si>
  <si>
    <t xml:space="preserve">gwangeo</t>
  </si>
  <si>
    <t xml:space="preserve">광어</t>
  </si>
  <si>
    <t xml:space="preserve">chamdom</t>
  </si>
  <si>
    <t xml:space="preserve">참돔</t>
  </si>
  <si>
    <t xml:space="preserve">bangeo</t>
  </si>
  <si>
    <t xml:space="preserve">방어</t>
  </si>
  <si>
    <t xml:space="preserve">busiri</t>
  </si>
  <si>
    <t xml:space="preserve">부시리</t>
  </si>
  <si>
    <t xml:space="preserve">chamchi</t>
  </si>
  <si>
    <t xml:space="preserve">참다랑어</t>
  </si>
  <si>
    <t xml:space="preserve">beodeulchi</t>
  </si>
  <si>
    <t xml:space="preserve">버들치</t>
  </si>
  <si>
    <t xml:space="preserve">galgyeoni</t>
  </si>
  <si>
    <t xml:space="preserve">갈겨니</t>
  </si>
  <si>
    <t xml:space="preserve">molaemuji</t>
  </si>
  <si>
    <t xml:space="preserve">모래무지</t>
  </si>
  <si>
    <t xml:space="preserve">kkeokji</t>
  </si>
  <si>
    <t xml:space="preserve">꺽지</t>
  </si>
  <si>
    <t xml:space="preserve">euneo</t>
  </si>
  <si>
    <t xml:space="preserve">은어</t>
  </si>
  <si>
    <t xml:space="preserve">bollak</t>
  </si>
  <si>
    <t xml:space="preserve">볼락</t>
  </si>
  <si>
    <t xml:space="preserve">noraemi</t>
  </si>
  <si>
    <t xml:space="preserve">쥐노래미</t>
  </si>
  <si>
    <t xml:space="preserve">hokdom</t>
  </si>
  <si>
    <t xml:space="preserve">혹돔</t>
  </si>
  <si>
    <t xml:space="preserve">piranha</t>
  </si>
  <si>
    <t xml:space="preserve">피라냐</t>
  </si>
  <si>
    <t xml:space="preserve">pacu</t>
  </si>
  <si>
    <t xml:space="preserve">파쿠</t>
  </si>
  <si>
    <t xml:space="preserve">peacock</t>
  </si>
  <si>
    <t xml:space="preserve">피콕배스</t>
  </si>
  <si>
    <t xml:space="preserve">redtail</t>
  </si>
  <si>
    <t xml:space="preserve">레드테일 캣피시</t>
  </si>
  <si>
    <t xml:space="preserve">arowana</t>
  </si>
  <si>
    <t xml:space="preserve">아로와나</t>
  </si>
  <si>
    <t xml:space="preserve">arapaima</t>
  </si>
  <si>
    <t xml:space="preserve">피라루쿠</t>
  </si>
  <si>
    <t xml:space="preserve">rtrout</t>
  </si>
  <si>
    <t xml:space="preserve">무지개송어</t>
  </si>
  <si>
    <t xml:space="preserve">sockeye</t>
  </si>
  <si>
    <t xml:space="preserve">홍연어</t>
  </si>
  <si>
    <t xml:space="preserve">arcchar</t>
  </si>
  <si>
    <t xml:space="preserve">북극곤들매기</t>
  </si>
  <si>
    <t xml:space="preserve">coho</t>
  </si>
  <si>
    <t xml:space="preserve">은연어</t>
  </si>
  <si>
    <t xml:space="preserve">lingcod</t>
  </si>
  <si>
    <t xml:space="preserve">링코드</t>
  </si>
  <si>
    <t xml:space="preserve">kingsal</t>
  </si>
  <si>
    <t xml:space="preserve">왕연어</t>
  </si>
  <si>
    <t xml:space="preserve">halibut</t>
  </si>
  <si>
    <t xml:space="preserve">핼리벗</t>
  </si>
  <si>
    <t xml:space="preserve">hwanggeum</t>
  </si>
  <si>
    <t xml:space="preserve">황금 고등어</t>
  </si>
  <si>
    <t xml:space="preserve">예</t>
  </si>
  <si>
    <t xml:space="preserve">eungalchi</t>
  </si>
  <si>
    <t xml:space="preserve">해운대 은갈치</t>
  </si>
  <si>
    <t xml:space="preserve">dageumbari</t>
  </si>
  <si>
    <t xml:space="preserve">태종대 다금바리</t>
  </si>
  <si>
    <t xml:space="preserve">dotdom</t>
  </si>
  <si>
    <t xml:space="preserve">오륙도 돗돔</t>
  </si>
  <si>
    <t xml:space="preserve">낚시터별 출현표</t>
  </si>
  <si>
    <t xml:space="preserve">출현 확률 = 가중치 ÷ 같은 낚시터 가중치 합. 부캉이, 방식 출현 배수, 미끼 행운은 빼고 떡밥·방식 무관 기준입니다.</t>
  </si>
  <si>
    <t xml:space="preserve">번호</t>
  </si>
  <si>
    <t xml:space="preserve">낚시터</t>
  </si>
  <si>
    <t xml:space="preserve">해금 비용 (원)</t>
  </si>
  <si>
    <t xml:space="preserve">추천 방식</t>
  </si>
  <si>
    <t xml:space="preserve">출현 종 수</t>
  </si>
  <si>
    <t xml:space="preserve">다음 낚시터 해금까지
기대 마릿수</t>
  </si>
  <si>
    <t xml:space="preserve">전설 등급이
나올 수 있는 종</t>
  </si>
  <si>
    <t xml:space="preserve">기대 판매가
가장 가까이 (원)</t>
  </si>
  <si>
    <t xml:space="preserve">기대 판매가
가장 멀리 (원)</t>
  </si>
  <si>
    <t xml:space="preserve">0</t>
  </si>
  <si>
    <t xml:space="preserve">실내 낚시터</t>
  </si>
  <si>
    <t xml:space="preserve">1</t>
  </si>
  <si>
    <t xml:space="preserve">하천</t>
  </si>
  <si>
    <t xml:space="preserve">2</t>
  </si>
  <si>
    <t xml:space="preserve">강</t>
  </si>
  <si>
    <t xml:space="preserve">3</t>
  </si>
  <si>
    <t xml:space="preserve">방파제</t>
  </si>
  <si>
    <t xml:space="preserve">4</t>
  </si>
  <si>
    <t xml:space="preserve">독도</t>
  </si>
  <si>
    <t xml:space="preserve">5</t>
  </si>
  <si>
    <t xml:space="preserve">배낚시</t>
  </si>
  <si>
    <t xml:space="preserve">6</t>
  </si>
  <si>
    <t xml:space="preserve">아마존</t>
  </si>
  <si>
    <t xml:space="preserve">7</t>
  </si>
  <si>
    <t xml:space="preserve">알래스카</t>
  </si>
  <si>
    <t xml:space="preserve">-</t>
  </si>
  <si>
    <t xml:space="preserve">SP</t>
  </si>
  <si>
    <t xml:space="preserve">부산</t>
  </si>
  <si>
    <t xml:space="preserve">부산 이용권 1장</t>
  </si>
  <si>
    <t xml:space="preserve">출현 상세</t>
  </si>
  <si>
    <t xml:space="preserve">물고기 ID</t>
  </si>
  <si>
    <t xml:space="preserve">가중치</t>
  </si>
  <si>
    <t xml:space="preserve">출현 확률</t>
  </si>
  <si>
    <t xml:space="preserve">기대 판매가 기여
(확률×기대가, 원)</t>
  </si>
  <si>
    <t xml:space="preserve">가중치
가장 가까이</t>
  </si>
  <si>
    <t xml:space="preserve">가중치
가장 멀리</t>
  </si>
  <si>
    <t xml:space="preserve">기여
가장 가까이 (원)</t>
  </si>
  <si>
    <t xml:space="preserve">기여
가장 멀리 (원)</t>
  </si>
  <si>
    <t xml:space="preserve">기준가 등급
번호</t>
  </si>
  <si>
    <t xml:space="preserve">그물 (자동 낚시)</t>
  </si>
  <si>
    <t xml:space="preserve">그물은 일정 시간마다 지금 낚시터 물고기 1마리를 잡습니다(부캉이 제외). 그물 칸이 차면 멈추고, 게임을 꺼 둔 동안에도 진행됩니다.</t>
  </si>
  <si>
    <t xml:space="preserve">물고기 질은 캐스팅 거리 효과와 같은 식입니다: 가중치 × (1+캐스팅 등급 배율)^(질 × 기준가 등급 번호). 질 0 = 게이지 한가운데, 1 = 가장 멀리 던진 것과 같음. 행운은 미끼 행운 대신 쓰입니다.</t>
  </si>
  <si>
    <t xml:space="preserve">구입·강화 비용 (원)</t>
  </si>
  <si>
    <t xml:space="preserve">물고기 질</t>
  </si>
  <si>
    <t xml:space="preserve">행운</t>
  </si>
  <si>
    <t xml:space="preserve">크기 분포 지수</t>
  </si>
  <si>
    <t xml:space="preserve">간격 (초)</t>
  </si>
  <si>
    <t xml:space="preserve">칸 수</t>
  </si>
  <si>
    <t xml:space="preserve">가득 차는 시간 (분)</t>
  </si>
  <si>
    <t xml:space="preserve">1마리 기대가
강 (원)</t>
  </si>
  <si>
    <t xml:space="preserve">1마리 기대가
배낚시 (원)</t>
  </si>
  <si>
    <t xml:space="preserve">1마리 기대가
알래스카 (원)</t>
  </si>
  <si>
    <t xml:space="preserve">분당 수입
강 (원)</t>
  </si>
  <si>
    <t xml:space="preserve">분당 수입
배낚시 (원)</t>
  </si>
  <si>
    <t xml:space="preserve">분당 수입
알래스카 (원)</t>
  </si>
  <si>
    <t xml:space="preserve">비용 회수
강 (분)</t>
  </si>
  <si>
    <t xml:space="preserve">비용 회수
배낚시 (분)</t>
  </si>
  <si>
    <t xml:space="preserve">비용 회수
알래스카 (분)</t>
  </si>
  <si>
    <t xml:space="preserve">작은 그물</t>
  </si>
  <si>
    <t xml:space="preserve">자망</t>
  </si>
  <si>
    <t xml:space="preserve">나일론 정치망</t>
  </si>
  <si>
    <t xml:space="preserve">대형 정치망</t>
  </si>
  <si>
    <t xml:space="preserve">황금 그물</t>
  </si>
  <si>
    <t xml:space="preserve">맵별 보스 대물</t>
  </si>
  <si>
    <t xml:space="preserve">그 맵에서 직접 잡은 물고기가 기척 수에 차면 다음 입질이 보스입니다. 거리에 따라 3단계로 나뉘고, 2단계부터 경고 뒤 잠수(강한 당김)가 옵니다.</t>
  </si>
  <si>
    <t xml:space="preserve">보스 크기는 t = 난수^지수로 정해집니다(일반 물고기보다 큰 개체가 잘 나옴). 놓치면 기척이 일부 남습니다.</t>
  </si>
  <si>
    <t xml:space="preserve">보스 크기 분포 지수</t>
  </si>
  <si>
    <t xml:space="preserve">놓쳤을 때 남는 기척 비율</t>
  </si>
  <si>
    <t xml:space="preserve">감기 속도 배수</t>
  </si>
  <si>
    <t xml:space="preserve">보스</t>
  </si>
  <si>
    <t xml:space="preserve">모습(기준 종)</t>
  </si>
  <si>
    <t xml:space="preserve">기척
(마리)</t>
  </si>
  <si>
    <t xml:space="preserve">난이도
(0~1)</t>
  </si>
  <si>
    <t xml:space="preserve">보스 기대
판매가 (원)</t>
  </si>
  <si>
    <t xml:space="preserve">기척 채우는 동안
기대 수입 (원)</t>
  </si>
  <si>
    <t xml:space="preserve">보스 가치
배수</t>
  </si>
  <si>
    <t xml:space="preserve">단계별 추가 당김
(2·3단계)</t>
  </si>
  <si>
    <t xml:space="preserve">잠수 당김</t>
  </si>
  <si>
    <t xml:space="preserve">여울 대장 꺽지</t>
  </si>
  <si>
    <t xml:space="preserve">왕메기</t>
  </si>
  <si>
    <t xml:space="preserve">방파제 돌돔왕</t>
  </si>
  <si>
    <t xml:space="preserve">독도 혹돔왕</t>
  </si>
  <si>
    <t xml:space="preserve">바다의 폭군 참다랑어</t>
  </si>
  <si>
    <t xml:space="preserve">괴물 피라루쿠</t>
  </si>
  <si>
    <t xml:space="preserve">전설의 핼리벗</t>
  </si>
  <si>
    <t xml:space="preserve">크기 메달</t>
  </si>
  <si>
    <t xml:space="preserve">몸길이 범위의 몇 % 지점 이상이면 메달입니다. 처음 받는 단계마다 그 종 기준가 × 보상 배수를 받습니다(동→금을 한 번에 넘으면 셋 다). 예전 2·5·15배에서 0.2·0.5·1배로 낮춤.</t>
  </si>
  <si>
    <t xml:space="preserve">메달</t>
  </si>
  <si>
    <t xml:space="preserve">범위 대비 지점</t>
  </si>
  <si>
    <t xml:space="preserve">보상 배수
(× 기준가)</t>
  </si>
  <si>
    <t xml:space="preserve">나올 확률
(떡밥)</t>
  </si>
  <si>
    <t xml:space="preserve">나올 확률
(미끼 행운 1.3)</t>
  </si>
  <si>
    <t xml:space="preserve">동메달</t>
  </si>
  <si>
    <t xml:space="preserve">은메달</t>
  </si>
  <si>
    <t xml:space="preserve">금메달</t>
  </si>
  <si>
    <t xml:space="preserve">물고기</t>
  </si>
  <si>
    <t xml:space="preserve">최소 길이</t>
  </si>
  <si>
    <t xml:space="preserve">최대 길이</t>
  </si>
  <si>
    <t xml:space="preserve">기준가 (원)</t>
  </si>
  <si>
    <t xml:space="preserve">동메달 (cm~)</t>
  </si>
  <si>
    <t xml:space="preserve">은메달 (cm~)</t>
  </si>
  <si>
    <t xml:space="preserve">금메달 (cm~)</t>
  </si>
  <si>
    <t xml:space="preserve">세 메달 보상 합 (원)</t>
  </si>
  <si>
    <t xml:space="preserve">전 종 금메달 보상 합</t>
  </si>
  <si>
    <t xml:space="preserve">시간대와 날씨</t>
  </si>
  <si>
    <t xml:space="preserve">실제 시각으로 진행합니다. 같은 시각이면 누구에게나 같은 날씨입니다. 실내 낚시터는 영향이 없고, 부산은 늘 밤입니다.</t>
  </si>
  <si>
    <t xml:space="preserve">설명</t>
  </si>
  <si>
    <t xml:space="preserve">하루 길이 (분)</t>
  </si>
  <si>
    <t xml:space="preserve">새벽 15% · 낮 40% · 저녁 15% · 밤 30%</t>
  </si>
  <si>
    <t xml:space="preserve">날씨 바뀌는 간격 (분)</t>
  </si>
  <si>
    <t xml:space="preserve">맑음 확률</t>
  </si>
  <si>
    <t xml:space="preserve">비 확률</t>
  </si>
  <si>
    <t xml:space="preserve">알래스카는 눈보라</t>
  </si>
  <si>
    <t xml:space="preserve">안개 확률</t>
  </si>
  <si>
    <t xml:space="preserve">밤: 야행성 물고기 출현 배수</t>
  </si>
  <si>
    <t xml:space="preserve">갈치·장어·메기·볼락·쥐노래미·레드테일 캣피시·링코드·해운대 은갈치</t>
  </si>
  <si>
    <t xml:space="preserve">밤: 야행성 물고기 가격 배수</t>
  </si>
  <si>
    <t xml:space="preserve">밤: 좋은 물고기 보정</t>
  </si>
  <si>
    <t xml:space="preserve">캐스팅 거리 보정과 같은 식</t>
  </si>
  <si>
    <t xml:space="preserve">비·눈보라: 좋은 물고기 보정</t>
  </si>
  <si>
    <t xml:space="preserve">비·눈보라: 입질 대기 배수</t>
  </si>
  <si>
    <t xml:space="preserve">안개: 부캉이 확률 배수</t>
  </si>
  <si>
    <t xml:space="preserve">안개: 희귀 변종 확률 배수</t>
  </si>
  <si>
    <t xml:space="preserve">맵별 1마리 평균 판매가 (게임 안에서 2만 번 굴린 측정값, 변종·부캉이 제외)</t>
  </si>
  <si>
    <t xml:space="preserve">낮·맑음</t>
  </si>
  <si>
    <t xml:space="preserve">밤·맑음</t>
  </si>
  <si>
    <t xml:space="preserve">낮·비</t>
  </si>
  <si>
    <t xml:space="preserve">낮·안개</t>
  </si>
  <si>
    <t xml:space="preserve">밤 / 낮</t>
  </si>
  <si>
    <t xml:space="preserve">비 / 맑음</t>
  </si>
  <si>
    <t xml:space="preserve">날씨 이벤트 (날씨 구간마다, 낚시터마다 정해짐)</t>
  </si>
  <si>
    <t xml:space="preserve">구간마다 이벤트가 생길 확률</t>
  </si>
  <si>
    <t xml:space="preserve">이벤트</t>
  </si>
  <si>
    <t xml:space="preserve">생기는 날씨</t>
  </si>
  <si>
    <t xml:space="preserve">출현 배수</t>
  </si>
  <si>
    <t xml:space="preserve">난이도 +</t>
  </si>
  <si>
    <t xml:space="preserve">판매가 배수</t>
  </si>
  <si>
    <t xml:space="preserve">입질 대기 배수</t>
  </si>
  <si>
    <t xml:space="preserve">좋은 물고기 보정</t>
  </si>
  <si>
    <t xml:space="preserve">물고기 떼</t>
  </si>
  <si>
    <t xml:space="preserve">맑음, 비, 안개, 눈보라</t>
  </si>
  <si>
    <t xml:space="preserve">떼가 몰려왔어요 · 그 물고기 출현 3배</t>
  </si>
  <si>
    <t xml:space="preserve">거센 물살</t>
  </si>
  <si>
    <t xml:space="preserve">비, 눈보라</t>
  </si>
  <si>
    <t xml:space="preserve">물고기 힘이 세져 잡기 어렵지만 판매가 ×1.2</t>
  </si>
  <si>
    <t xml:space="preserve">먹이 활동</t>
  </si>
  <si>
    <t xml:space="preserve">맑음</t>
  </si>
  <si>
    <t xml:space="preserve">입질이 훨씬 빨라져요</t>
  </si>
  <si>
    <t xml:space="preserve">안개 속 대물</t>
  </si>
  <si>
    <t xml:space="preserve">안개</t>
  </si>
  <si>
    <t xml:space="preserve">좋은 물고기가 늘지만 입질이 느려요</t>
  </si>
  <si>
    <t xml:space="preserve">맑을 때 이벤트별 확률 (물고기 떼·먹이 활동)</t>
  </si>
  <si>
    <t xml:space="preserve">비·눈보라일 때 거센 물살 확률</t>
  </si>
  <si>
    <t xml:space="preserve">안개일 때 안개 속 대물 확률</t>
  </si>
  <si>
    <t xml:space="preserve">수족관 · 특수 미끼 · 낚시 대회 · 환생 · 의뢰 · 희귀 변종</t>
  </si>
  <si>
    <t xml:space="preserve">수족관</t>
  </si>
  <si>
    <t xml:space="preserve">시간당 관람 수입 (전시 물고기 가격 합 대비)</t>
  </si>
  <si>
    <t xml:space="preserve">꺼 둔 동안 최대 (시간)</t>
  </si>
  <si>
    <t xml:space="preserve">예시: 전시 물고기 1마리 평균 가격 (원)</t>
  </si>
  <si>
    <t xml:space="preserve">수조</t>
  </si>
  <si>
    <t xml:space="preserve">비용 (원)</t>
  </si>
  <si>
    <t xml:space="preserve">전시 칸</t>
  </si>
  <si>
    <t xml:space="preserve">가득 채웠을 때
시간당 수입 (원)</t>
  </si>
  <si>
    <t xml:space="preserve">하루 최대 (원)</t>
  </si>
  <si>
    <t xml:space="preserve">누적 비용 회수
(시간)</t>
  </si>
  <si>
    <t xml:space="preserve">작은 어항</t>
  </si>
  <si>
    <t xml:space="preserve">거실 수조</t>
  </si>
  <si>
    <t xml:space="preserve">대형 수조</t>
  </si>
  <si>
    <t xml:space="preserve">해양 수족관</t>
  </si>
  <si>
    <t xml:space="preserve">부캉이 아쿠아리움</t>
  </si>
  <si>
    <t xml:space="preserve">특수 미끼</t>
  </si>
  <si>
    <t xml:space="preserve">가격 (원)</t>
  </si>
  <si>
    <t xml:space="preserve">횟수</t>
  </si>
  <si>
    <t xml:space="preserve">1회당 (원)</t>
  </si>
  <si>
    <t xml:space="preserve">효과</t>
  </si>
  <si>
    <t xml:space="preserve">대물 미끼</t>
  </si>
  <si>
    <t xml:space="preserve">좋은 물고기가 더 잘 와요 (멀리 던진 것보다 더)</t>
  </si>
  <si>
    <t xml:space="preserve">부캉이 미끼</t>
  </si>
  <si>
    <t xml:space="preserve">부캉이가 나올 확률 5배</t>
  </si>
  <si>
    <t xml:space="preserve">보스 유인 미끼</t>
  </si>
  <si>
    <t xml:space="preserve">지금 낚시터 보스 기척 +10</t>
  </si>
  <si>
    <t xml:space="preserve">낚시 대회</t>
  </si>
  <si>
    <t xml:space="preserve">시간 (초)</t>
  </si>
  <si>
    <t xml:space="preserve">참가비 = 1마리 기대가 ×</t>
  </si>
  <si>
    <t xml:space="preserve">상금 배수 (1위·2위·3위·4위)</t>
  </si>
  <si>
    <t xml:space="preserve">참가비 (원)</t>
  </si>
  <si>
    <t xml:space="preserve">1위 상금</t>
  </si>
  <si>
    <t xml:space="preserve">2위 상금</t>
  </si>
  <si>
    <t xml:space="preserve">3위 상금</t>
  </si>
  <si>
    <t xml:space="preserve">라이벌</t>
  </si>
  <si>
    <t xml:space="preserve">낚시왕 박(1.25) · 강태공 김(1) · 초보 이(0.7)</t>
  </si>
  <si>
    <t xml:space="preserve">환생</t>
  </si>
  <si>
    <t xml:space="preserve">레벨당 판매가 보너스</t>
  </si>
  <si>
    <t xml:space="preserve">레벨당 보스 기척 보너스</t>
  </si>
  <si>
    <t xml:space="preserve">환생 후 시작 금액 (원)</t>
  </si>
  <si>
    <t xml:space="preserve">환생 레벨</t>
  </si>
  <si>
    <t xml:space="preserve">보스 기척 1마리당</t>
  </si>
  <si>
    <t xml:space="preserve">오늘의 의뢰 (하루 3개, 연 낚시터 중 가장 먼 2곳 기준. 새 낚시터를 열면 못 끝낸 의뢰가 바뀜)</t>
  </si>
  <si>
    <t xml:space="preserve">보상 배수 최소·최대</t>
  </si>
  <si>
    <t xml:space="preserve">판매 의뢰 목표 = 1마리 기대가 ×</t>
  </si>
  <si>
    <t xml:space="preserve">의뢰에 쓰는 최근 낚시터 수</t>
  </si>
  <si>
    <t xml:space="preserve">세 개 모두 완료 보너스 (대물 미끼 횟수)</t>
  </si>
  <si>
    <t xml:space="preserve">가장 뒤 맵</t>
  </si>
  <si>
    <t xml:space="preserve">보상 최소 (원)</t>
  </si>
  <si>
    <t xml:space="preserve">보상 최대 (원)</t>
  </si>
  <si>
    <t xml:space="preserve">판매 의뢰 목표 (원)</t>
  </si>
  <si>
    <t xml:space="preserve">희귀 변종</t>
  </si>
  <si>
    <t xml:space="preserve">기본 확률</t>
  </si>
  <si>
    <t xml:space="preserve">미끼 행운 1당 추가 확률</t>
  </si>
  <si>
    <t xml:space="preserve">황금 비율 · 가격 배수</t>
  </si>
  <si>
    <t xml:space="preserve">알비노 비율 · 가격 배수</t>
  </si>
  <si>
    <t xml:space="preserve">떡밥일 때 변종 확률</t>
  </si>
  <si>
    <t xml:space="preserve">황금 미끼 +5일 때 (안개면 2배)</t>
  </si>
  <si>
    <t xml:space="preserve">자동 판매</t>
  </si>
  <si>
    <t xml:space="preserve">처음 설정 (이 등급까지 자동 판매)</t>
  </si>
  <si>
    <t xml:space="preserve">조건</t>
  </si>
  <si>
    <t xml:space="preserve">이미 잡아 본 종류 · 고른 등급 이하 · 그 종류의 최대 크기·최고가·최고 등급·메달을 넘지 않음 · 변종·보스 아님</t>
  </si>
  <si>
    <t xml:space="preserve">도감 완성 보상</t>
  </si>
  <si>
    <t xml:space="preserve">낚시터의 물고기를 모두 한 번 이상 잡으면 받는 작은 편의 효과입니다. 부산은 나오는 7종(전용 4종 + 참돔·방어·부시리) 기준입니다.</t>
  </si>
  <si>
    <t xml:space="preserve">채워야 할 종 수</t>
  </si>
  <si>
    <t xml:space="preserve">보상</t>
  </si>
  <si>
    <t xml:space="preserve">효과 종류</t>
  </si>
  <si>
    <t xml:space="preserve">게임에서 쓰이는 곳</t>
  </si>
  <si>
    <t xml:space="preserve">캐스팅 게이지 15% 느려짐</t>
  </si>
  <si>
    <t xml:space="preserve">castSlow</t>
  </si>
  <si>
    <t xml:space="preserve">캐스팅 게이지 속도에 (1−수치)를 곱함</t>
  </si>
  <si>
    <t xml:space="preserve">판매가 +5%</t>
  </si>
  <si>
    <t xml:space="preserve">sell</t>
  </si>
  <si>
    <t xml:space="preserve">판매가에 더함 (환생 보너스와 합산)</t>
  </si>
  <si>
    <t xml:space="preserve">챔질 판정 10% 넓어짐</t>
  </si>
  <si>
    <t xml:space="preserve">hook</t>
  </si>
  <si>
    <t xml:space="preserve">챔질 게이지 구간·찌 반응 시간에 (1+수치)를 곱함</t>
  </si>
  <si>
    <t xml:space="preserve">느슨함 허용 +0.3초</t>
  </si>
  <si>
    <t xml:space="preserve">slack</t>
  </si>
  <si>
    <t xml:space="preserve">느슨함 허용 시간에 더함</t>
  </si>
  <si>
    <t xml:space="preserve">챔질 판정 5% 넓어짐</t>
  </si>
  <si>
    <t xml:space="preserve">입질 대기 10% 단축</t>
  </si>
  <si>
    <t xml:space="preserve">wait</t>
  </si>
  <si>
    <t xml:space="preserve">입질 대기 시간에 (1−수치)를 곱함</t>
  </si>
  <si>
    <t xml:space="preserve">느슨함 허용 +0.2초</t>
  </si>
  <si>
    <t xml:space="preserve">입질 대기 5% 단축</t>
  </si>
  <si>
    <t xml:space="preserve">부산 이용 시간 +30초</t>
  </si>
  <si>
    <t xml:space="preserve">busan</t>
  </si>
  <si>
    <t xml:space="preserve">부산 이용권 1장 시간에 더함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</si>
</sst>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#,##0"/>
    <numFmt numFmtId="167" formatCode="0"/>
    <numFmt numFmtId="168" formatCode="0.0%"/>
    <numFmt numFmtId="169" formatCode="General"/>
    <numFmt numFmtId="170" formatCode="0%"/>
    <numFmt numFmtId="171" formatCode="0.00"/>
    <numFmt numFmtId="172" formatCode="0.00%"/>
    <numFmt numFmtId="173" formatCode="0.0"/>
    <numFmt numFmtId="174" formatCode="0.0\배"/>
    <numFmt numFmtId="175" formatCode="0\배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0"/>
      <charset val="1"/>
    </font>
    <font>
      <sz val="10"/>
      <color rgb="FF555555"/>
      <name val="Noto Sans CJK SC"/>
      <family val="0"/>
      <charset val="1"/>
    </font>
    <font>
      <b val="true"/>
      <sz val="10"/>
      <color rgb="FFFFFFFF"/>
      <name val="Noto Sans CJK SC"/>
      <family val="0"/>
      <charset val="1"/>
    </font>
    <font>
      <sz val="10"/>
      <name val="Noto Sans CJK SC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name val="Noto Sans CJK SC"/>
      <family val="2"/>
    </font>
    <font>
      <b val="true"/>
      <sz val="11"/>
      <name val="Noto Sans CJK SC"/>
      <family val="0"/>
      <charset val="1"/>
    </font>
    <font>
      <sz val="10"/>
      <color rgb="FF00800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2B3A4A"/>
        <bgColor rgb="FF333300"/>
      </patternFill>
    </fill>
    <fill>
      <patternFill patternType="solid">
        <fgColor rgb="FFFFF9D6"/>
        <bgColor rgb="FFFFFFFF"/>
      </patternFill>
    </fill>
    <fill>
      <patternFill patternType="solid">
        <fgColor rgb="FFA9B4BA"/>
        <bgColor rgb="FFC9CED3"/>
      </patternFill>
    </fill>
    <fill>
      <patternFill patternType="solid">
        <fgColor rgb="FF5CC27A"/>
        <bgColor rgb="FF339966"/>
      </patternFill>
    </fill>
    <fill>
      <patternFill patternType="solid">
        <fgColor rgb="FF4AA3FF"/>
        <bgColor rgb="FF3366FF"/>
      </patternFill>
    </fill>
    <fill>
      <patternFill patternType="solid">
        <fgColor rgb="FFB678FF"/>
        <bgColor rgb="FFFF7EB6"/>
      </patternFill>
    </fill>
    <fill>
      <patternFill patternType="solid">
        <fgColor rgb="FFFFB627"/>
        <bgColor rgb="FFFF9900"/>
      </patternFill>
    </fill>
    <fill>
      <patternFill patternType="solid">
        <fgColor rgb="FFFF7EB6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3"/>
      </left>
      <right style="thin">
        <color rgb="FFC9CED3"/>
      </right>
      <top style="thin">
        <color rgb="FFC9CED3"/>
      </top>
      <bottom style="thin">
        <color rgb="FFC9CE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ED3"/>
      <rgbColor rgb="FF808080"/>
      <rgbColor rgb="FF4AA3FF"/>
      <rgbColor rgb="FF993366"/>
      <rgbColor rgb="FFFFF9D6"/>
      <rgbColor rgb="FFCCFFFF"/>
      <rgbColor rgb="FF660066"/>
      <rgbColor rgb="FFFF7EB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678FF"/>
      <rgbColor rgb="FFFFCC99"/>
      <rgbColor rgb="FF3366FF"/>
      <rgbColor rgb="FF5CC27A"/>
      <rgbColor rgb="FF99CC00"/>
      <rgbColor rgb="FFFFB627"/>
      <rgbColor rgb="FFFF9900"/>
      <rgbColor rgb="FFFF6600"/>
      <rgbColor rgb="FF555555"/>
      <rgbColor rgb="FFA9B4BA"/>
      <rgbColor rgb="FF003366"/>
      <rgbColor rgb="FF339966"/>
      <rgbColor rgb="FF003300"/>
      <rgbColor rgb="FF333300"/>
      <rgbColor rgb="FF993300"/>
      <rgbColor rgb="FF993366"/>
      <rgbColor rgb="FF333399"/>
      <rgbColor rgb="FF2B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낚시터!F5</f>
        <v>15.9562934336509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f aca="false">낚시터!F6</f>
        <v>22.9060014687636</v>
      </c>
      <c r="C6" s="4" t="s">
        <v>6</v>
      </c>
    </row>
    <row r="7" customFormat="false" ht="15" hidden="false" customHeight="false" outlineLevel="0" collapsed="false">
      <c r="A7" s="4" t="s">
        <v>8</v>
      </c>
      <c r="B7" s="5" t="n">
        <f aca="false">낚시터!F7</f>
        <v>47.0148669809363</v>
      </c>
      <c r="C7" s="4" t="s">
        <v>6</v>
      </c>
    </row>
    <row r="8" customFormat="false" ht="15" hidden="false" customHeight="false" outlineLevel="0" collapsed="false">
      <c r="A8" s="4" t="s">
        <v>9</v>
      </c>
      <c r="B8" s="5" t="n">
        <f aca="false">낚시터!F8</f>
        <v>122.221537481253</v>
      </c>
      <c r="C8" s="4" t="s">
        <v>6</v>
      </c>
    </row>
    <row r="9" customFormat="false" ht="15" hidden="false" customHeight="false" outlineLevel="0" collapsed="false">
      <c r="A9" s="4" t="s">
        <v>10</v>
      </c>
      <c r="B9" s="5" t="n">
        <f aca="false">낚시터!F9</f>
        <v>269.429188313713</v>
      </c>
      <c r="C9" s="4" t="s">
        <v>6</v>
      </c>
    </row>
    <row r="10" customFormat="false" ht="15" hidden="false" customHeight="false" outlineLevel="0" collapsed="false">
      <c r="A10" s="4" t="s">
        <v>11</v>
      </c>
      <c r="B10" s="5" t="n">
        <f aca="false">낚시터!F10</f>
        <v>758.269279988315</v>
      </c>
      <c r="C10" s="4" t="s">
        <v>6</v>
      </c>
    </row>
    <row r="11" customFormat="false" ht="15" hidden="false" customHeight="false" outlineLevel="0" collapsed="false">
      <c r="A11" s="4" t="s">
        <v>12</v>
      </c>
      <c r="B11" s="5" t="n">
        <f aca="false">낚시터!F11</f>
        <v>1261.83027138793</v>
      </c>
      <c r="C11" s="4" t="s">
        <v>6</v>
      </c>
    </row>
    <row r="12" customFormat="false" ht="15" hidden="false" customHeight="false" outlineLevel="0" collapsed="false">
      <c r="A12" s="4" t="s">
        <v>13</v>
      </c>
      <c r="B12" s="5" t="n">
        <f aca="false">낚시터!F12</f>
        <v>2008.83703106896</v>
      </c>
      <c r="C12" s="4" t="s">
        <v>6</v>
      </c>
    </row>
    <row r="13" customFormat="false" ht="15" hidden="false" customHeight="false" outlineLevel="0" collapsed="false">
      <c r="A13" s="4" t="s">
        <v>14</v>
      </c>
      <c r="B13" s="5" t="n">
        <f aca="false">낚시터!F13</f>
        <v>1944.80772047492</v>
      </c>
      <c r="C13" s="4" t="s">
        <v>6</v>
      </c>
    </row>
    <row r="14" customFormat="false" ht="15" hidden="false" customHeight="false" outlineLevel="0" collapsed="false">
      <c r="A14" s="4" t="s">
        <v>15</v>
      </c>
      <c r="B14" s="6" t="n">
        <f aca="false">낚시터!G5</f>
        <v>0</v>
      </c>
      <c r="C14" s="4" t="s">
        <v>16</v>
      </c>
    </row>
    <row r="15" customFormat="false" ht="15" hidden="false" customHeight="false" outlineLevel="0" collapsed="false">
      <c r="A15" s="4" t="s">
        <v>17</v>
      </c>
      <c r="B15" s="6" t="n">
        <f aca="false">낚시터!G6</f>
        <v>27</v>
      </c>
      <c r="C15" s="4" t="s">
        <v>16</v>
      </c>
    </row>
    <row r="16" customFormat="false" ht="15" hidden="false" customHeight="false" outlineLevel="0" collapsed="false">
      <c r="A16" s="4" t="s">
        <v>18</v>
      </c>
      <c r="B16" s="6" t="n">
        <f aca="false">낚시터!G7</f>
        <v>32</v>
      </c>
      <c r="C16" s="4" t="s">
        <v>16</v>
      </c>
    </row>
    <row r="17" customFormat="false" ht="15" hidden="false" customHeight="false" outlineLevel="0" collapsed="false">
      <c r="A17" s="4" t="s">
        <v>19</v>
      </c>
      <c r="B17" s="6" t="n">
        <f aca="false">낚시터!G8</f>
        <v>25</v>
      </c>
      <c r="C17" s="4" t="s">
        <v>16</v>
      </c>
    </row>
    <row r="18" customFormat="false" ht="15" hidden="false" customHeight="false" outlineLevel="0" collapsed="false">
      <c r="A18" s="4" t="s">
        <v>20</v>
      </c>
      <c r="B18" s="6" t="n">
        <f aca="false">낚시터!G9</f>
        <v>30</v>
      </c>
      <c r="C18" s="4" t="s">
        <v>16</v>
      </c>
    </row>
    <row r="19" customFormat="false" ht="15" hidden="false" customHeight="false" outlineLevel="0" collapsed="false">
      <c r="A19" s="4" t="s">
        <v>21</v>
      </c>
      <c r="B19" s="6" t="n">
        <f aca="false">낚시터!G10</f>
        <v>33</v>
      </c>
      <c r="C19" s="4" t="s">
        <v>16</v>
      </c>
    </row>
    <row r="20" customFormat="false" ht="15" hidden="false" customHeight="false" outlineLevel="0" collapsed="false">
      <c r="A20" s="4" t="s">
        <v>22</v>
      </c>
      <c r="B20" s="6" t="n">
        <f aca="false">낚시터!G11</f>
        <v>40</v>
      </c>
      <c r="C20" s="4" t="s">
        <v>16</v>
      </c>
    </row>
    <row r="21" customFormat="false" ht="15" hidden="false" customHeight="false" outlineLevel="0" collapsed="false">
      <c r="A21" s="4" t="s">
        <v>23</v>
      </c>
      <c r="B21" s="5" t="n">
        <f aca="false">장비!D45</f>
        <v>9449700</v>
      </c>
      <c r="C21" s="4"/>
    </row>
    <row r="22" customFormat="false" ht="15" hidden="false" customHeight="false" outlineLevel="0" collapsed="false">
      <c r="A22" s="4" t="s">
        <v>24</v>
      </c>
      <c r="B22" s="6" t="n">
        <f aca="false">ROUNDUP(B21/낚시터!F12,0)</f>
        <v>4705</v>
      </c>
      <c r="C22" s="4" t="s">
        <v>25</v>
      </c>
    </row>
    <row r="23" customFormat="false" ht="15" hidden="false" customHeight="false" outlineLevel="0" collapsed="false">
      <c r="A23" s="4" t="s">
        <v>26</v>
      </c>
      <c r="B23" s="6" t="n">
        <f aca="false">장비!I35</f>
        <v>250</v>
      </c>
      <c r="C23" s="4"/>
    </row>
    <row r="24" customFormat="false" ht="15" hidden="false" customHeight="false" outlineLevel="0" collapsed="false">
      <c r="A24" s="4" t="s">
        <v>27</v>
      </c>
      <c r="B24" s="6" t="n">
        <f aca="false">장비!I39</f>
        <v>96</v>
      </c>
      <c r="C24" s="4"/>
    </row>
    <row r="25" customFormat="false" ht="15" hidden="false" customHeight="false" outlineLevel="0" collapsed="false">
      <c r="A25" s="4" t="s">
        <v>28</v>
      </c>
      <c r="B25" s="6" t="n">
        <f aca="false">장비!I44</f>
        <v>69</v>
      </c>
      <c r="C25" s="4"/>
    </row>
    <row r="26" customFormat="false" ht="15" hidden="false" customHeight="false" outlineLevel="0" collapsed="false">
      <c r="A26" s="4" t="s">
        <v>29</v>
      </c>
      <c r="B26" s="5" t="n">
        <f aca="false">낚시터!I12</f>
        <v>1884.10824695933</v>
      </c>
      <c r="C26" s="4" t="s">
        <v>30</v>
      </c>
    </row>
    <row r="27" customFormat="false" ht="15" hidden="false" customHeight="false" outlineLevel="0" collapsed="false">
      <c r="A27" s="4" t="s">
        <v>31</v>
      </c>
      <c r="B27" s="5" t="n">
        <f aca="false">낚시터!J12</f>
        <v>2158.41530279907</v>
      </c>
      <c r="C27" s="4" t="s">
        <v>32</v>
      </c>
    </row>
    <row r="28" customFormat="false" ht="15" hidden="false" customHeight="false" outlineLevel="0" collapsed="false">
      <c r="A28" s="4" t="s">
        <v>33</v>
      </c>
      <c r="B28" s="5" t="n">
        <f aca="false">그물!D10</f>
        <v>535000</v>
      </c>
      <c r="C28" s="4" t="s">
        <v>34</v>
      </c>
    </row>
    <row r="29" customFormat="false" ht="15" hidden="false" customHeight="false" outlineLevel="0" collapsed="false">
      <c r="A29" s="4" t="s">
        <v>35</v>
      </c>
      <c r="B29" s="5" t="n">
        <f aca="false">그물!O6</f>
        <v>446.025217121152</v>
      </c>
      <c r="C29" s="4"/>
    </row>
    <row r="30" customFormat="false" ht="15" hidden="false" customHeight="false" outlineLevel="0" collapsed="false">
      <c r="A30" s="4" t="s">
        <v>36</v>
      </c>
      <c r="B30" s="5" t="n">
        <f aca="false">그물!O10</f>
        <v>2568.32699576596</v>
      </c>
      <c r="C30" s="4"/>
    </row>
    <row r="31" customFormat="false" ht="15" hidden="false" customHeight="false" outlineLevel="0" collapsed="false">
      <c r="A31" s="4" t="s">
        <v>37</v>
      </c>
      <c r="B31" s="5" t="n">
        <f aca="false">그물!P10</f>
        <v>4970.87293477048</v>
      </c>
      <c r="C31" s="4"/>
    </row>
    <row r="32" customFormat="false" ht="15" hidden="false" customHeight="false" outlineLevel="0" collapsed="false">
      <c r="A32" s="4" t="s">
        <v>38</v>
      </c>
      <c r="B32" s="7" t="n">
        <f aca="false">가정!$B$11</f>
        <v>150</v>
      </c>
      <c r="C32" s="4" t="s">
        <v>39</v>
      </c>
    </row>
    <row r="33" customFormat="false" ht="15" hidden="false" customHeight="false" outlineLevel="0" collapsed="false">
      <c r="A33" s="4" t="s">
        <v>40</v>
      </c>
      <c r="B33" s="7" t="n">
        <f aca="false">가정!$B$4</f>
        <v>15</v>
      </c>
      <c r="C33" s="4" t="s">
        <v>41</v>
      </c>
    </row>
    <row r="34" customFormat="false" ht="15" hidden="false" customHeight="false" outlineLevel="0" collapsed="false">
      <c r="A34" s="4" t="s">
        <v>42</v>
      </c>
      <c r="B34" s="8" t="n">
        <f aca="false">물고기!R5</f>
        <v>0.24495</v>
      </c>
      <c r="C34" s="4" t="s">
        <v>43</v>
      </c>
    </row>
    <row r="35" customFormat="false" ht="15" hidden="false" customHeight="false" outlineLevel="0" collapsed="false">
      <c r="A35" s="4" t="s">
        <v>44</v>
      </c>
      <c r="B35" s="8" t="n">
        <f aca="false">물고기!R51</f>
        <v>0.138</v>
      </c>
      <c r="C35" s="4"/>
    </row>
    <row r="36" customFormat="false" ht="15" hidden="false" customHeight="false" outlineLevel="0" collapsed="false">
      <c r="A36" s="4" t="s">
        <v>45</v>
      </c>
      <c r="B36" s="8" t="n">
        <f aca="false">물고기!S51</f>
        <v>0.23575</v>
      </c>
      <c r="C3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20.1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48</v>
      </c>
    </row>
    <row r="4" customFormat="false" ht="15" hidden="false" customHeight="false" outlineLevel="0" collapsed="false">
      <c r="A4" s="4" t="s">
        <v>40</v>
      </c>
      <c r="B4" s="9" t="n">
        <v>15</v>
      </c>
      <c r="C4" s="4" t="s">
        <v>49</v>
      </c>
    </row>
    <row r="5" customFormat="false" ht="15" hidden="false" customHeight="false" outlineLevel="0" collapsed="false">
      <c r="A5" s="4" t="s">
        <v>50</v>
      </c>
      <c r="B5" s="9" t="n">
        <v>1.8</v>
      </c>
      <c r="C5" s="4" t="s">
        <v>51</v>
      </c>
    </row>
    <row r="6" customFormat="false" ht="15" hidden="false" customHeight="false" outlineLevel="0" collapsed="false">
      <c r="A6" s="4" t="s">
        <v>52</v>
      </c>
      <c r="B6" s="9" t="n">
        <v>0.6</v>
      </c>
      <c r="C6" s="4" t="s">
        <v>53</v>
      </c>
    </row>
    <row r="7" customFormat="false" ht="15" hidden="false" customHeight="false" outlineLevel="0" collapsed="false">
      <c r="A7" s="4" t="s">
        <v>54</v>
      </c>
      <c r="B7" s="9" t="n">
        <v>0.35</v>
      </c>
      <c r="C7" s="4" t="s">
        <v>55</v>
      </c>
    </row>
    <row r="8" customFormat="false" ht="15" hidden="false" customHeight="false" outlineLevel="0" collapsed="false">
      <c r="A8" s="4" t="s">
        <v>56</v>
      </c>
      <c r="B8" s="9" t="n">
        <v>1.5</v>
      </c>
      <c r="C8" s="4" t="s">
        <v>57</v>
      </c>
    </row>
    <row r="9" customFormat="false" ht="15" hidden="false" customHeight="false" outlineLevel="0" collapsed="false">
      <c r="A9" s="4" t="s">
        <v>58</v>
      </c>
      <c r="B9" s="10" t="n">
        <v>0.004</v>
      </c>
      <c r="C9" s="4" t="s">
        <v>59</v>
      </c>
    </row>
    <row r="10" customFormat="false" ht="15" hidden="false" customHeight="false" outlineLevel="0" collapsed="false">
      <c r="A10" s="4" t="s">
        <v>60</v>
      </c>
      <c r="B10" s="9" t="n">
        <v>2</v>
      </c>
      <c r="C10" s="4" t="s">
        <v>61</v>
      </c>
    </row>
    <row r="11" customFormat="false" ht="15" hidden="false" customHeight="false" outlineLevel="0" collapsed="false">
      <c r="A11" s="4" t="s">
        <v>38</v>
      </c>
      <c r="B11" s="9" t="n">
        <v>150</v>
      </c>
      <c r="C11" s="4" t="s">
        <v>62</v>
      </c>
    </row>
    <row r="12" customFormat="false" ht="15" hidden="false" customHeight="false" outlineLevel="0" collapsed="false">
      <c r="A12" s="4" t="s">
        <v>63</v>
      </c>
      <c r="B12" s="9" t="n">
        <v>150</v>
      </c>
      <c r="C12" s="4" t="s">
        <v>64</v>
      </c>
    </row>
    <row r="13" customFormat="false" ht="15" hidden="false" customHeight="false" outlineLevel="0" collapsed="false">
      <c r="A13" s="4" t="s">
        <v>65</v>
      </c>
      <c r="B13" s="9" t="n">
        <v>30</v>
      </c>
      <c r="C13" s="4" t="s">
        <v>66</v>
      </c>
    </row>
    <row r="14" customFormat="false" ht="15" hidden="false" customHeight="false" outlineLevel="0" collapsed="false">
      <c r="A14" s="4" t="s">
        <v>67</v>
      </c>
      <c r="B14" s="9" t="n">
        <v>0.5</v>
      </c>
      <c r="C14" s="4" t="s">
        <v>68</v>
      </c>
    </row>
    <row r="15" customFormat="false" ht="15" hidden="false" customHeight="false" outlineLevel="0" collapsed="false">
      <c r="A15" s="4" t="s">
        <v>69</v>
      </c>
      <c r="B15" s="9" t="n">
        <v>1.15</v>
      </c>
      <c r="C15" s="4" t="s">
        <v>70</v>
      </c>
    </row>
    <row r="16" customFormat="false" ht="15" hidden="false" customHeight="false" outlineLevel="0" collapsed="false">
      <c r="A16" s="4" t="s">
        <v>71</v>
      </c>
      <c r="B16" s="9" t="n">
        <v>0.88</v>
      </c>
      <c r="C16" s="4" t="s">
        <v>72</v>
      </c>
    </row>
    <row r="17" customFormat="false" ht="15" hidden="false" customHeight="false" outlineLevel="0" collapsed="false">
      <c r="A17" s="4" t="s">
        <v>73</v>
      </c>
      <c r="B17" s="9" t="n">
        <v>0.88</v>
      </c>
      <c r="C17" s="4" t="s">
        <v>74</v>
      </c>
    </row>
    <row r="18" customFormat="false" ht="15" hidden="false" customHeight="false" outlineLevel="0" collapsed="false">
      <c r="A18" s="4" t="s">
        <v>75</v>
      </c>
      <c r="B18" s="9" t="n">
        <v>1.12</v>
      </c>
      <c r="C18" s="4" t="s">
        <v>76</v>
      </c>
    </row>
    <row r="19" customFormat="false" ht="15" hidden="false" customHeight="false" outlineLevel="0" collapsed="false">
      <c r="A19" s="4" t="s">
        <v>77</v>
      </c>
      <c r="B19" s="9" t="n">
        <v>0.24</v>
      </c>
      <c r="C19" s="4" t="s">
        <v>78</v>
      </c>
    </row>
    <row r="20" customFormat="false" ht="15" hidden="false" customHeight="false" outlineLevel="0" collapsed="false">
      <c r="A20" s="4" t="s">
        <v>79</v>
      </c>
      <c r="B20" s="9" t="n">
        <v>0.36</v>
      </c>
      <c r="C20" s="4" t="s">
        <v>80</v>
      </c>
    </row>
    <row r="21" customFormat="false" ht="15" hidden="false" customHeight="false" outlineLevel="0" collapsed="false">
      <c r="A21" s="4" t="s">
        <v>81</v>
      </c>
      <c r="B21" s="9" t="n">
        <v>0.75</v>
      </c>
      <c r="C21" s="4" t="s">
        <v>82</v>
      </c>
    </row>
    <row r="22" customFormat="false" ht="15" hidden="false" customHeight="false" outlineLevel="0" collapsed="false">
      <c r="A22" s="4" t="s">
        <v>83</v>
      </c>
      <c r="B22" s="9" t="n">
        <v>0.9</v>
      </c>
      <c r="C22" s="4" t="s">
        <v>84</v>
      </c>
    </row>
    <row r="23" customFormat="false" ht="15" hidden="false" customHeight="false" outlineLevel="0" collapsed="false">
      <c r="A23" s="4" t="s">
        <v>85</v>
      </c>
      <c r="B23" s="9" t="n">
        <v>2.2</v>
      </c>
      <c r="C23" s="4" t="s">
        <v>86</v>
      </c>
    </row>
    <row r="24" customFormat="false" ht="15" hidden="false" customHeight="false" outlineLevel="0" collapsed="false">
      <c r="A24" s="4" t="s">
        <v>87</v>
      </c>
      <c r="B24" s="9" t="n">
        <v>0.7</v>
      </c>
      <c r="C24" s="4" t="s">
        <v>88</v>
      </c>
    </row>
    <row r="25" customFormat="false" ht="15" hidden="false" customHeight="false" outlineLevel="0" collapsed="false">
      <c r="A25" s="4" t="s">
        <v>89</v>
      </c>
      <c r="B25" s="9" t="n">
        <v>0.05</v>
      </c>
      <c r="C25" s="4" t="s">
        <v>84</v>
      </c>
    </row>
    <row r="26" customFormat="false" ht="15" hidden="false" customHeight="false" outlineLevel="0" collapsed="false">
      <c r="A26" s="4" t="s">
        <v>90</v>
      </c>
      <c r="B26" s="9" t="n">
        <v>0.12</v>
      </c>
      <c r="C26" s="4" t="s">
        <v>84</v>
      </c>
    </row>
    <row r="27" customFormat="false" ht="15" hidden="false" customHeight="false" outlineLevel="0" collapsed="false">
      <c r="A27" s="4" t="s">
        <v>91</v>
      </c>
      <c r="B27" s="9" t="n">
        <v>0.35</v>
      </c>
      <c r="C27" s="4" t="s">
        <v>92</v>
      </c>
    </row>
    <row r="28" customFormat="false" ht="15" hidden="false" customHeight="false" outlineLevel="0" collapsed="false">
      <c r="A28" s="4" t="s">
        <v>93</v>
      </c>
      <c r="B28" s="9" t="n">
        <v>12</v>
      </c>
      <c r="C28" s="4" t="s">
        <v>94</v>
      </c>
    </row>
    <row r="29" customFormat="false" ht="15" hidden="false" customHeight="false" outlineLevel="0" collapsed="false">
      <c r="A29" s="4" t="s">
        <v>95</v>
      </c>
      <c r="B29" s="9" t="n">
        <v>40</v>
      </c>
      <c r="C29" s="4" t="s">
        <v>96</v>
      </c>
    </row>
    <row r="30" customFormat="false" ht="15" hidden="false" customHeight="false" outlineLevel="0" collapsed="false">
      <c r="A30" s="4" t="s">
        <v>97</v>
      </c>
      <c r="B30" s="9" t="n">
        <v>0.85</v>
      </c>
      <c r="C30" s="4" t="s">
        <v>98</v>
      </c>
    </row>
    <row r="31" customFormat="false" ht="15" hidden="false" customHeight="false" outlineLevel="0" collapsed="false">
      <c r="A31" s="4" t="s">
        <v>99</v>
      </c>
      <c r="B31" s="9" t="n">
        <v>24</v>
      </c>
      <c r="C31" s="4" t="s">
        <v>100</v>
      </c>
    </row>
    <row r="32" customFormat="false" ht="15" hidden="false" customHeight="false" outlineLevel="0" collapsed="false">
      <c r="A32" s="4" t="s">
        <v>101</v>
      </c>
      <c r="B32" s="9" t="n">
        <v>1.15</v>
      </c>
      <c r="C32" s="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3" customFormat="false" ht="31.5" hidden="false" customHeight="true" outlineLevel="0" collapsed="false">
      <c r="A3" s="3" t="s">
        <v>105</v>
      </c>
      <c r="B3" s="3" t="s">
        <v>106</v>
      </c>
      <c r="C3" s="3" t="s">
        <v>107</v>
      </c>
      <c r="D3" s="3" t="s">
        <v>108</v>
      </c>
    </row>
    <row r="4" customFormat="false" ht="15" hidden="false" customHeight="false" outlineLevel="0" collapsed="false">
      <c r="A4" s="11" t="s">
        <v>109</v>
      </c>
      <c r="B4" s="12" t="n">
        <v>0</v>
      </c>
      <c r="C4" s="13" t="s">
        <v>110</v>
      </c>
      <c r="D4" s="14" t="n">
        <f aca="false">COUNTIF(물고기!$O$5:$O$200,A4)</f>
        <v>7</v>
      </c>
    </row>
    <row r="5" customFormat="false" ht="15" hidden="false" customHeight="false" outlineLevel="0" collapsed="false">
      <c r="A5" s="11" t="s">
        <v>111</v>
      </c>
      <c r="B5" s="12" t="n">
        <v>60</v>
      </c>
      <c r="C5" s="15" t="s">
        <v>112</v>
      </c>
      <c r="D5" s="14" t="n">
        <f aca="false">COUNTIF(물고기!$O$5:$O$200,A5)</f>
        <v>5</v>
      </c>
    </row>
    <row r="6" customFormat="false" ht="15" hidden="false" customHeight="false" outlineLevel="0" collapsed="false">
      <c r="A6" s="11" t="s">
        <v>113</v>
      </c>
      <c r="B6" s="12" t="n">
        <v>200</v>
      </c>
      <c r="C6" s="16" t="s">
        <v>114</v>
      </c>
      <c r="D6" s="14" t="n">
        <f aca="false">COUNTIF(물고기!$O$5:$O$200,A6)</f>
        <v>7</v>
      </c>
    </row>
    <row r="7" customFormat="false" ht="15" hidden="false" customHeight="false" outlineLevel="0" collapsed="false">
      <c r="A7" s="11" t="s">
        <v>115</v>
      </c>
      <c r="B7" s="12" t="n">
        <v>700</v>
      </c>
      <c r="C7" s="17" t="s">
        <v>116</v>
      </c>
      <c r="D7" s="14" t="n">
        <f aca="false">COUNTIF(물고기!$O$5:$O$200,A7)</f>
        <v>8</v>
      </c>
    </row>
    <row r="8" customFormat="false" ht="15" hidden="false" customHeight="false" outlineLevel="0" collapsed="false">
      <c r="A8" s="11" t="s">
        <v>117</v>
      </c>
      <c r="B8" s="12" t="n">
        <v>2500</v>
      </c>
      <c r="C8" s="18" t="s">
        <v>118</v>
      </c>
      <c r="D8" s="14" t="n">
        <f aca="false">COUNTIF(물고기!$O$5:$O$200,A8)</f>
        <v>20</v>
      </c>
    </row>
    <row r="9" customFormat="false" ht="15" hidden="false" customHeight="false" outlineLevel="0" collapsed="false">
      <c r="A9" s="4" t="s">
        <v>119</v>
      </c>
      <c r="B9" s="4" t="s">
        <v>120</v>
      </c>
      <c r="C9" s="19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9" min="8" style="0" width="14"/>
  </cols>
  <sheetData>
    <row r="1" customFormat="false" ht="16.1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31.5" hidden="false" customHeight="true" outlineLevel="0" collapsed="false">
      <c r="A4" s="3" t="s">
        <v>124</v>
      </c>
      <c r="B4" s="3" t="s">
        <v>125</v>
      </c>
      <c r="C4" s="3" t="s">
        <v>126</v>
      </c>
      <c r="D4" s="3" t="s">
        <v>127</v>
      </c>
      <c r="E4" s="3" t="s">
        <v>128</v>
      </c>
      <c r="F4" s="3" t="s">
        <v>129</v>
      </c>
      <c r="G4" s="3" t="s">
        <v>130</v>
      </c>
      <c r="H4" s="3" t="s">
        <v>131</v>
      </c>
      <c r="I4" s="3" t="s">
        <v>132</v>
      </c>
    </row>
    <row r="5" customFormat="false" ht="15" hidden="false" customHeight="false" outlineLevel="0" collapsed="false">
      <c r="A5" s="4" t="s">
        <v>133</v>
      </c>
      <c r="B5" s="14" t="n">
        <v>1</v>
      </c>
      <c r="C5" s="11" t="s">
        <v>134</v>
      </c>
      <c r="D5" s="12" t="n">
        <v>0</v>
      </c>
      <c r="E5" s="20" t="n">
        <f aca="false">SUM($D$5:D5)</f>
        <v>0</v>
      </c>
      <c r="F5" s="21" t="n">
        <v>0.24</v>
      </c>
      <c r="G5" s="4" t="s">
        <v>135</v>
      </c>
    </row>
    <row r="6" customFormat="false" ht="15" hidden="false" customHeight="false" outlineLevel="0" collapsed="false">
      <c r="A6" s="4" t="s">
        <v>133</v>
      </c>
      <c r="B6" s="14" t="n">
        <v>2</v>
      </c>
      <c r="C6" s="11" t="s">
        <v>136</v>
      </c>
      <c r="D6" s="12" t="n">
        <v>200</v>
      </c>
      <c r="E6" s="20" t="n">
        <f aca="false">SUM($D$5:D6)</f>
        <v>200</v>
      </c>
      <c r="F6" s="21" t="n">
        <v>0.28</v>
      </c>
      <c r="G6" s="4" t="s">
        <v>137</v>
      </c>
    </row>
    <row r="7" customFormat="false" ht="15" hidden="false" customHeight="false" outlineLevel="0" collapsed="false">
      <c r="A7" s="4" t="s">
        <v>133</v>
      </c>
      <c r="B7" s="14" t="n">
        <v>3</v>
      </c>
      <c r="C7" s="11" t="s">
        <v>138</v>
      </c>
      <c r="D7" s="12" t="n">
        <v>1200</v>
      </c>
      <c r="E7" s="20" t="n">
        <f aca="false">SUM($D$5:D7)</f>
        <v>1400</v>
      </c>
      <c r="F7" s="21" t="n">
        <v>0.32</v>
      </c>
      <c r="G7" s="4" t="s">
        <v>139</v>
      </c>
    </row>
    <row r="8" customFormat="false" ht="15" hidden="false" customHeight="false" outlineLevel="0" collapsed="false">
      <c r="A8" s="4" t="s">
        <v>133</v>
      </c>
      <c r="B8" s="14" t="n">
        <v>4</v>
      </c>
      <c r="C8" s="11" t="s">
        <v>140</v>
      </c>
      <c r="D8" s="12" t="n">
        <v>6000</v>
      </c>
      <c r="E8" s="20" t="n">
        <f aca="false">SUM($D$5:D8)</f>
        <v>7400</v>
      </c>
      <c r="F8" s="21" t="n">
        <v>0.36</v>
      </c>
      <c r="G8" s="4" t="s">
        <v>141</v>
      </c>
    </row>
    <row r="9" customFormat="false" ht="15" hidden="false" customHeight="false" outlineLevel="0" collapsed="false">
      <c r="A9" s="4" t="s">
        <v>133</v>
      </c>
      <c r="B9" s="14" t="n">
        <v>5</v>
      </c>
      <c r="C9" s="11" t="s">
        <v>142</v>
      </c>
      <c r="D9" s="12" t="n">
        <v>25000</v>
      </c>
      <c r="E9" s="20" t="n">
        <f aca="false">SUM($D$5:D9)</f>
        <v>32400</v>
      </c>
      <c r="F9" s="21" t="n">
        <v>0.41</v>
      </c>
      <c r="G9" s="4" t="s">
        <v>143</v>
      </c>
    </row>
    <row r="10" customFormat="false" ht="15" hidden="false" customHeight="false" outlineLevel="0" collapsed="false">
      <c r="A10" s="4" t="s">
        <v>133</v>
      </c>
      <c r="B10" s="14" t="n">
        <v>6</v>
      </c>
      <c r="C10" s="11" t="s">
        <v>144</v>
      </c>
      <c r="D10" s="12" t="n">
        <v>60000</v>
      </c>
      <c r="E10" s="20" t="n">
        <f aca="false">SUM($D$5:D10)</f>
        <v>92400</v>
      </c>
      <c r="F10" s="21" t="n">
        <v>0.43</v>
      </c>
      <c r="G10" s="4" t="s">
        <v>145</v>
      </c>
    </row>
    <row r="11" customFormat="false" ht="15" hidden="false" customHeight="false" outlineLevel="0" collapsed="false">
      <c r="A11" s="4" t="s">
        <v>133</v>
      </c>
      <c r="B11" s="14" t="n">
        <v>7</v>
      </c>
      <c r="C11" s="11" t="s">
        <v>146</v>
      </c>
      <c r="D11" s="12" t="n">
        <v>130000</v>
      </c>
      <c r="E11" s="20" t="n">
        <f aca="false">SUM($D$5:D11)</f>
        <v>222400</v>
      </c>
      <c r="F11" s="21" t="n">
        <v>0.45</v>
      </c>
      <c r="G11" s="4" t="s">
        <v>147</v>
      </c>
    </row>
    <row r="12" customFormat="false" ht="15" hidden="false" customHeight="false" outlineLevel="0" collapsed="false">
      <c r="A12" s="4" t="s">
        <v>133</v>
      </c>
      <c r="B12" s="14" t="n">
        <v>8</v>
      </c>
      <c r="C12" s="11" t="s">
        <v>148</v>
      </c>
      <c r="D12" s="12" t="n">
        <v>280000</v>
      </c>
      <c r="E12" s="20" t="n">
        <f aca="false">SUM($D$5:D12)</f>
        <v>502400</v>
      </c>
      <c r="F12" s="21" t="n">
        <v>0.47</v>
      </c>
      <c r="G12" s="4" t="s">
        <v>149</v>
      </c>
    </row>
    <row r="13" customFormat="false" ht="15" hidden="false" customHeight="false" outlineLevel="0" collapsed="false">
      <c r="A13" s="4" t="s">
        <v>133</v>
      </c>
      <c r="B13" s="14" t="n">
        <v>9</v>
      </c>
      <c r="C13" s="11" t="s">
        <v>150</v>
      </c>
      <c r="D13" s="12" t="n">
        <v>600000</v>
      </c>
      <c r="E13" s="20" t="n">
        <f aca="false">SUM($D$5:D13)</f>
        <v>1102400</v>
      </c>
      <c r="F13" s="21" t="n">
        <v>0.49</v>
      </c>
      <c r="G13" s="4" t="s">
        <v>151</v>
      </c>
    </row>
    <row r="14" customFormat="false" ht="15" hidden="false" customHeight="false" outlineLevel="0" collapsed="false">
      <c r="A14" s="4" t="s">
        <v>133</v>
      </c>
      <c r="B14" s="14" t="n">
        <v>10</v>
      </c>
      <c r="C14" s="11" t="s">
        <v>152</v>
      </c>
      <c r="D14" s="12" t="n">
        <v>1300000</v>
      </c>
      <c r="E14" s="20" t="n">
        <f aca="false">SUM($D$5:D14)</f>
        <v>2402400</v>
      </c>
      <c r="F14" s="21" t="n">
        <v>0.51</v>
      </c>
      <c r="G14" s="4" t="s">
        <v>153</v>
      </c>
    </row>
    <row r="15" customFormat="false" ht="15" hidden="false" customHeight="false" outlineLevel="0" collapsed="false">
      <c r="A15" s="4" t="s">
        <v>154</v>
      </c>
      <c r="B15" s="14" t="n">
        <v>1</v>
      </c>
      <c r="C15" s="11" t="s">
        <v>155</v>
      </c>
      <c r="D15" s="12" t="n">
        <v>0</v>
      </c>
      <c r="E15" s="20" t="n">
        <f aca="false">SUM($D$15:D15)</f>
        <v>0</v>
      </c>
      <c r="F15" s="22" t="n">
        <v>0.16</v>
      </c>
      <c r="G15" s="4" t="s">
        <v>156</v>
      </c>
    </row>
    <row r="16" customFormat="false" ht="15" hidden="false" customHeight="false" outlineLevel="0" collapsed="false">
      <c r="A16" s="4" t="s">
        <v>154</v>
      </c>
      <c r="B16" s="14" t="n">
        <v>2</v>
      </c>
      <c r="C16" s="11" t="s">
        <v>157</v>
      </c>
      <c r="D16" s="12" t="n">
        <v>250</v>
      </c>
      <c r="E16" s="20" t="n">
        <f aca="false">SUM($D$15:D16)</f>
        <v>250</v>
      </c>
      <c r="F16" s="22" t="n">
        <v>0.21</v>
      </c>
      <c r="G16" s="4" t="s">
        <v>156</v>
      </c>
    </row>
    <row r="17" customFormat="false" ht="15" hidden="false" customHeight="false" outlineLevel="0" collapsed="false">
      <c r="A17" s="4" t="s">
        <v>154</v>
      </c>
      <c r="B17" s="14" t="n">
        <v>3</v>
      </c>
      <c r="C17" s="11" t="s">
        <v>158</v>
      </c>
      <c r="D17" s="12" t="n">
        <v>1500</v>
      </c>
      <c r="E17" s="20" t="n">
        <f aca="false">SUM($D$15:D17)</f>
        <v>1750</v>
      </c>
      <c r="F17" s="22" t="n">
        <v>0.27</v>
      </c>
      <c r="G17" s="4" t="s">
        <v>156</v>
      </c>
    </row>
    <row r="18" customFormat="false" ht="15" hidden="false" customHeight="false" outlineLevel="0" collapsed="false">
      <c r="A18" s="4" t="s">
        <v>154</v>
      </c>
      <c r="B18" s="14" t="n">
        <v>4</v>
      </c>
      <c r="C18" s="11" t="s">
        <v>159</v>
      </c>
      <c r="D18" s="12" t="n">
        <v>7000</v>
      </c>
      <c r="E18" s="20" t="n">
        <f aca="false">SUM($D$15:D18)</f>
        <v>8750</v>
      </c>
      <c r="F18" s="22" t="n">
        <v>0.34</v>
      </c>
      <c r="G18" s="4" t="s">
        <v>156</v>
      </c>
    </row>
    <row r="19" customFormat="false" ht="15" hidden="false" customHeight="false" outlineLevel="0" collapsed="false">
      <c r="A19" s="4" t="s">
        <v>154</v>
      </c>
      <c r="B19" s="14" t="n">
        <v>5</v>
      </c>
      <c r="C19" s="11" t="s">
        <v>160</v>
      </c>
      <c r="D19" s="12" t="n">
        <v>30000</v>
      </c>
      <c r="E19" s="20" t="n">
        <f aca="false">SUM($D$15:D19)</f>
        <v>38750</v>
      </c>
      <c r="F19" s="22" t="n">
        <v>0.42</v>
      </c>
      <c r="G19" s="4" t="s">
        <v>156</v>
      </c>
    </row>
    <row r="20" customFormat="false" ht="15" hidden="false" customHeight="false" outlineLevel="0" collapsed="false">
      <c r="A20" s="4" t="s">
        <v>154</v>
      </c>
      <c r="B20" s="14" t="n">
        <v>6</v>
      </c>
      <c r="C20" s="11" t="s">
        <v>161</v>
      </c>
      <c r="D20" s="12" t="n">
        <v>70000</v>
      </c>
      <c r="E20" s="20" t="n">
        <f aca="false">SUM($D$15:D20)</f>
        <v>108750</v>
      </c>
      <c r="F20" s="22" t="n">
        <v>0.45</v>
      </c>
      <c r="G20" s="4" t="s">
        <v>156</v>
      </c>
    </row>
    <row r="21" customFormat="false" ht="15" hidden="false" customHeight="false" outlineLevel="0" collapsed="false">
      <c r="A21" s="4" t="s">
        <v>154</v>
      </c>
      <c r="B21" s="14" t="n">
        <v>7</v>
      </c>
      <c r="C21" s="11" t="s">
        <v>162</v>
      </c>
      <c r="D21" s="12" t="n">
        <v>150000</v>
      </c>
      <c r="E21" s="20" t="n">
        <f aca="false">SUM($D$15:D21)</f>
        <v>258750</v>
      </c>
      <c r="F21" s="22" t="n">
        <v>0.48</v>
      </c>
      <c r="G21" s="4" t="s">
        <v>156</v>
      </c>
    </row>
    <row r="22" customFormat="false" ht="15" hidden="false" customHeight="false" outlineLevel="0" collapsed="false">
      <c r="A22" s="4" t="s">
        <v>154</v>
      </c>
      <c r="B22" s="14" t="n">
        <v>8</v>
      </c>
      <c r="C22" s="11" t="s">
        <v>163</v>
      </c>
      <c r="D22" s="12" t="n">
        <v>320000</v>
      </c>
      <c r="E22" s="20" t="n">
        <f aca="false">SUM($D$15:D22)</f>
        <v>578750</v>
      </c>
      <c r="F22" s="22" t="n">
        <v>0.51</v>
      </c>
      <c r="G22" s="4" t="s">
        <v>156</v>
      </c>
    </row>
    <row r="23" customFormat="false" ht="15" hidden="false" customHeight="false" outlineLevel="0" collapsed="false">
      <c r="A23" s="4" t="s">
        <v>154</v>
      </c>
      <c r="B23" s="14" t="n">
        <v>9</v>
      </c>
      <c r="C23" s="11" t="s">
        <v>164</v>
      </c>
      <c r="D23" s="12" t="n">
        <v>700000</v>
      </c>
      <c r="E23" s="20" t="n">
        <f aca="false">SUM($D$15:D23)</f>
        <v>1278750</v>
      </c>
      <c r="F23" s="22" t="n">
        <v>0.54</v>
      </c>
      <c r="G23" s="4" t="s">
        <v>156</v>
      </c>
    </row>
    <row r="24" customFormat="false" ht="15" hidden="false" customHeight="false" outlineLevel="0" collapsed="false">
      <c r="A24" s="4" t="s">
        <v>154</v>
      </c>
      <c r="B24" s="14" t="n">
        <v>10</v>
      </c>
      <c r="C24" s="11" t="s">
        <v>165</v>
      </c>
      <c r="D24" s="12" t="n">
        <v>1500000</v>
      </c>
      <c r="E24" s="20" t="n">
        <f aca="false">SUM($D$15:D24)</f>
        <v>2778750</v>
      </c>
      <c r="F24" s="22" t="n">
        <v>0.57</v>
      </c>
      <c r="G24" s="4" t="s">
        <v>156</v>
      </c>
    </row>
    <row r="25" customFormat="false" ht="15" hidden="false" customHeight="false" outlineLevel="0" collapsed="false">
      <c r="A25" s="4" t="s">
        <v>166</v>
      </c>
      <c r="B25" s="14" t="n">
        <v>1</v>
      </c>
      <c r="C25" s="11" t="s">
        <v>167</v>
      </c>
      <c r="D25" s="12" t="n">
        <v>0</v>
      </c>
      <c r="E25" s="20" t="n">
        <f aca="false">SUM($D$25:D25)</f>
        <v>0</v>
      </c>
      <c r="F25" s="22" t="n">
        <v>1.2</v>
      </c>
      <c r="G25" s="4" t="s">
        <v>168</v>
      </c>
    </row>
    <row r="26" customFormat="false" ht="15" hidden="false" customHeight="false" outlineLevel="0" collapsed="false">
      <c r="A26" s="4" t="s">
        <v>166</v>
      </c>
      <c r="B26" s="14" t="n">
        <v>2</v>
      </c>
      <c r="C26" s="11" t="s">
        <v>169</v>
      </c>
      <c r="D26" s="12" t="n">
        <v>150</v>
      </c>
      <c r="E26" s="20" t="n">
        <f aca="false">SUM($D$25:D26)</f>
        <v>150</v>
      </c>
      <c r="F26" s="22" t="n">
        <v>1.7</v>
      </c>
      <c r="G26" s="4" t="s">
        <v>168</v>
      </c>
    </row>
    <row r="27" customFormat="false" ht="15" hidden="false" customHeight="false" outlineLevel="0" collapsed="false">
      <c r="A27" s="4" t="s">
        <v>166</v>
      </c>
      <c r="B27" s="14" t="n">
        <v>3</v>
      </c>
      <c r="C27" s="11" t="s">
        <v>170</v>
      </c>
      <c r="D27" s="12" t="n">
        <v>1000</v>
      </c>
      <c r="E27" s="20" t="n">
        <f aca="false">SUM($D$25:D27)</f>
        <v>1150</v>
      </c>
      <c r="F27" s="22" t="n">
        <v>2.4</v>
      </c>
      <c r="G27" s="4" t="s">
        <v>168</v>
      </c>
    </row>
    <row r="28" customFormat="false" ht="15" hidden="false" customHeight="false" outlineLevel="0" collapsed="false">
      <c r="A28" s="4" t="s">
        <v>166</v>
      </c>
      <c r="B28" s="14" t="n">
        <v>4</v>
      </c>
      <c r="C28" s="11" t="s">
        <v>171</v>
      </c>
      <c r="D28" s="12" t="n">
        <v>5000</v>
      </c>
      <c r="E28" s="20" t="n">
        <f aca="false">SUM($D$25:D28)</f>
        <v>6150</v>
      </c>
      <c r="F28" s="22" t="n">
        <v>3.3</v>
      </c>
      <c r="G28" s="4" t="s">
        <v>168</v>
      </c>
    </row>
    <row r="29" customFormat="false" ht="15" hidden="false" customHeight="false" outlineLevel="0" collapsed="false">
      <c r="A29" s="4" t="s">
        <v>166</v>
      </c>
      <c r="B29" s="14" t="n">
        <v>5</v>
      </c>
      <c r="C29" s="11" t="s">
        <v>172</v>
      </c>
      <c r="D29" s="12" t="n">
        <v>22000</v>
      </c>
      <c r="E29" s="20" t="n">
        <f aca="false">SUM($D$25:D29)</f>
        <v>28150</v>
      </c>
      <c r="F29" s="22" t="n">
        <v>4.5</v>
      </c>
      <c r="G29" s="4" t="s">
        <v>168</v>
      </c>
    </row>
    <row r="30" customFormat="false" ht="15" hidden="false" customHeight="false" outlineLevel="0" collapsed="false">
      <c r="A30" s="4" t="s">
        <v>166</v>
      </c>
      <c r="B30" s="14" t="n">
        <v>6</v>
      </c>
      <c r="C30" s="11" t="s">
        <v>173</v>
      </c>
      <c r="D30" s="12" t="n">
        <v>50000</v>
      </c>
      <c r="E30" s="20" t="n">
        <f aca="false">SUM($D$25:D30)</f>
        <v>78150</v>
      </c>
      <c r="F30" s="22" t="n">
        <v>5</v>
      </c>
      <c r="G30" s="4" t="s">
        <v>168</v>
      </c>
    </row>
    <row r="31" customFormat="false" ht="15" hidden="false" customHeight="false" outlineLevel="0" collapsed="false">
      <c r="A31" s="4" t="s">
        <v>166</v>
      </c>
      <c r="B31" s="14" t="n">
        <v>7</v>
      </c>
      <c r="C31" s="11" t="s">
        <v>174</v>
      </c>
      <c r="D31" s="12" t="n">
        <v>110000</v>
      </c>
      <c r="E31" s="20" t="n">
        <f aca="false">SUM($D$25:D31)</f>
        <v>188150</v>
      </c>
      <c r="F31" s="22" t="n">
        <v>5.5</v>
      </c>
      <c r="G31" s="4" t="s">
        <v>168</v>
      </c>
    </row>
    <row r="32" customFormat="false" ht="15" hidden="false" customHeight="false" outlineLevel="0" collapsed="false">
      <c r="A32" s="4" t="s">
        <v>166</v>
      </c>
      <c r="B32" s="14" t="n">
        <v>8</v>
      </c>
      <c r="C32" s="11" t="s">
        <v>175</v>
      </c>
      <c r="D32" s="12" t="n">
        <v>240000</v>
      </c>
      <c r="E32" s="20" t="n">
        <f aca="false">SUM($D$25:D32)</f>
        <v>428150</v>
      </c>
      <c r="F32" s="22" t="n">
        <v>6</v>
      </c>
      <c r="G32" s="4" t="s">
        <v>168</v>
      </c>
    </row>
    <row r="33" customFormat="false" ht="15" hidden="false" customHeight="false" outlineLevel="0" collapsed="false">
      <c r="A33" s="4" t="s">
        <v>166</v>
      </c>
      <c r="B33" s="14" t="n">
        <v>9</v>
      </c>
      <c r="C33" s="11" t="s">
        <v>176</v>
      </c>
      <c r="D33" s="12" t="n">
        <v>520000</v>
      </c>
      <c r="E33" s="20" t="n">
        <f aca="false">SUM($D$25:D33)</f>
        <v>948150</v>
      </c>
      <c r="F33" s="22" t="n">
        <v>6.5</v>
      </c>
      <c r="G33" s="4" t="s">
        <v>168</v>
      </c>
    </row>
    <row r="34" customFormat="false" ht="15" hidden="false" customHeight="false" outlineLevel="0" collapsed="false">
      <c r="A34" s="4" t="s">
        <v>166</v>
      </c>
      <c r="B34" s="14" t="n">
        <v>10</v>
      </c>
      <c r="C34" s="11" t="s">
        <v>177</v>
      </c>
      <c r="D34" s="12" t="n">
        <v>1100000</v>
      </c>
      <c r="E34" s="20" t="n">
        <f aca="false">SUM($D$25:D34)</f>
        <v>2048150</v>
      </c>
      <c r="F34" s="22" t="n">
        <v>7</v>
      </c>
      <c r="G34" s="4" t="s">
        <v>168</v>
      </c>
    </row>
    <row r="35" customFormat="false" ht="15" hidden="false" customHeight="false" outlineLevel="0" collapsed="false">
      <c r="A35" s="4" t="s">
        <v>178</v>
      </c>
      <c r="B35" s="14" t="n">
        <v>1</v>
      </c>
      <c r="C35" s="11" t="s">
        <v>179</v>
      </c>
      <c r="D35" s="12" t="n">
        <v>0</v>
      </c>
      <c r="E35" s="20" t="n">
        <f aca="false">SUM($D$35:D35)</f>
        <v>0</v>
      </c>
      <c r="F35" s="21" t="n">
        <v>0</v>
      </c>
      <c r="G35" s="4" t="s">
        <v>180</v>
      </c>
      <c r="H35" s="23" t="n">
        <f aca="false">가정!$B$9*(1+F35*가정!$B$10)</f>
        <v>0.004</v>
      </c>
      <c r="I35" s="24" t="n">
        <f aca="false">ROUND(1/H35,0)</f>
        <v>250</v>
      </c>
    </row>
    <row r="36" customFormat="false" ht="15" hidden="false" customHeight="false" outlineLevel="0" collapsed="false">
      <c r="A36" s="4" t="s">
        <v>178</v>
      </c>
      <c r="B36" s="14" t="n">
        <v>2</v>
      </c>
      <c r="C36" s="11" t="s">
        <v>181</v>
      </c>
      <c r="D36" s="12" t="n">
        <v>100</v>
      </c>
      <c r="E36" s="20" t="n">
        <f aca="false">SUM($D$35:D36)</f>
        <v>100</v>
      </c>
      <c r="F36" s="21" t="n">
        <v>0.15</v>
      </c>
      <c r="G36" s="4" t="s">
        <v>180</v>
      </c>
      <c r="H36" s="23" t="n">
        <f aca="false">가정!$B$9*(1+F36*가정!$B$10)</f>
        <v>0.0052</v>
      </c>
      <c r="I36" s="24" t="n">
        <f aca="false">ROUND(1/H36,0)</f>
        <v>192</v>
      </c>
    </row>
    <row r="37" customFormat="false" ht="15" hidden="false" customHeight="false" outlineLevel="0" collapsed="false">
      <c r="A37" s="4" t="s">
        <v>178</v>
      </c>
      <c r="B37" s="14" t="n">
        <v>3</v>
      </c>
      <c r="C37" s="11" t="s">
        <v>182</v>
      </c>
      <c r="D37" s="12" t="n">
        <v>800</v>
      </c>
      <c r="E37" s="20" t="n">
        <f aca="false">SUM($D$35:D37)</f>
        <v>900</v>
      </c>
      <c r="F37" s="21" t="n">
        <v>0.3</v>
      </c>
      <c r="G37" s="4" t="s">
        <v>180</v>
      </c>
      <c r="H37" s="23" t="n">
        <f aca="false">가정!$B$9*(1+F37*가정!$B$10)</f>
        <v>0.0064</v>
      </c>
      <c r="I37" s="24" t="n">
        <f aca="false">ROUND(1/H37,0)</f>
        <v>156</v>
      </c>
    </row>
    <row r="38" customFormat="false" ht="15" hidden="false" customHeight="false" outlineLevel="0" collapsed="false">
      <c r="A38" s="4" t="s">
        <v>178</v>
      </c>
      <c r="B38" s="14" t="n">
        <v>4</v>
      </c>
      <c r="C38" s="11" t="s">
        <v>183</v>
      </c>
      <c r="D38" s="12" t="n">
        <v>4500</v>
      </c>
      <c r="E38" s="20" t="n">
        <f aca="false">SUM($D$35:D38)</f>
        <v>5400</v>
      </c>
      <c r="F38" s="21" t="n">
        <v>0.5</v>
      </c>
      <c r="G38" s="4" t="s">
        <v>180</v>
      </c>
      <c r="H38" s="23" t="n">
        <f aca="false">가정!$B$9*(1+F38*가정!$B$10)</f>
        <v>0.008</v>
      </c>
      <c r="I38" s="24" t="n">
        <f aca="false">ROUND(1/H38,0)</f>
        <v>125</v>
      </c>
    </row>
    <row r="39" customFormat="false" ht="15" hidden="false" customHeight="false" outlineLevel="0" collapsed="false">
      <c r="A39" s="4" t="s">
        <v>178</v>
      </c>
      <c r="B39" s="14" t="n">
        <v>5</v>
      </c>
      <c r="C39" s="11" t="s">
        <v>184</v>
      </c>
      <c r="D39" s="12" t="n">
        <v>20000</v>
      </c>
      <c r="E39" s="20" t="n">
        <f aca="false">SUM($D$35:D39)</f>
        <v>25400</v>
      </c>
      <c r="F39" s="21" t="n">
        <v>0.8</v>
      </c>
      <c r="G39" s="4" t="s">
        <v>180</v>
      </c>
      <c r="H39" s="23" t="n">
        <f aca="false">가정!$B$9*(1+F39*가정!$B$10)</f>
        <v>0.0104</v>
      </c>
      <c r="I39" s="24" t="n">
        <f aca="false">ROUND(1/H39,0)</f>
        <v>96</v>
      </c>
    </row>
    <row r="40" customFormat="false" ht="15" hidden="false" customHeight="false" outlineLevel="0" collapsed="false">
      <c r="A40" s="4" t="s">
        <v>178</v>
      </c>
      <c r="B40" s="14" t="n">
        <v>6</v>
      </c>
      <c r="C40" s="11" t="s">
        <v>185</v>
      </c>
      <c r="D40" s="12" t="n">
        <v>55000</v>
      </c>
      <c r="E40" s="20" t="n">
        <f aca="false">SUM($D$35:D40)</f>
        <v>80400</v>
      </c>
      <c r="F40" s="21" t="n">
        <v>0.9</v>
      </c>
      <c r="G40" s="4" t="s">
        <v>180</v>
      </c>
      <c r="H40" s="23" t="n">
        <f aca="false">가정!$B$9*(1+F40*가정!$B$10)</f>
        <v>0.0112</v>
      </c>
      <c r="I40" s="24" t="n">
        <f aca="false">ROUND(1/H40,0)</f>
        <v>89</v>
      </c>
    </row>
    <row r="41" customFormat="false" ht="15" hidden="false" customHeight="false" outlineLevel="0" collapsed="false">
      <c r="A41" s="4" t="s">
        <v>178</v>
      </c>
      <c r="B41" s="14" t="n">
        <v>7</v>
      </c>
      <c r="C41" s="11" t="s">
        <v>186</v>
      </c>
      <c r="D41" s="12" t="n">
        <v>120000</v>
      </c>
      <c r="E41" s="20" t="n">
        <f aca="false">SUM($D$35:D41)</f>
        <v>200400</v>
      </c>
      <c r="F41" s="21" t="n">
        <v>1</v>
      </c>
      <c r="G41" s="4" t="s">
        <v>180</v>
      </c>
      <c r="H41" s="23" t="n">
        <f aca="false">가정!$B$9*(1+F41*가정!$B$10)</f>
        <v>0.012</v>
      </c>
      <c r="I41" s="24" t="n">
        <f aca="false">ROUND(1/H41,0)</f>
        <v>83</v>
      </c>
    </row>
    <row r="42" customFormat="false" ht="15" hidden="false" customHeight="false" outlineLevel="0" collapsed="false">
      <c r="A42" s="4" t="s">
        <v>178</v>
      </c>
      <c r="B42" s="14" t="n">
        <v>8</v>
      </c>
      <c r="C42" s="11" t="s">
        <v>187</v>
      </c>
      <c r="D42" s="12" t="n">
        <v>260000</v>
      </c>
      <c r="E42" s="20" t="n">
        <f aca="false">SUM($D$35:D42)</f>
        <v>460400</v>
      </c>
      <c r="F42" s="21" t="n">
        <v>1.1</v>
      </c>
      <c r="G42" s="4" t="s">
        <v>180</v>
      </c>
      <c r="H42" s="23" t="n">
        <f aca="false">가정!$B$9*(1+F42*가정!$B$10)</f>
        <v>0.0128</v>
      </c>
      <c r="I42" s="24" t="n">
        <f aca="false">ROUND(1/H42,0)</f>
        <v>78</v>
      </c>
    </row>
    <row r="43" customFormat="false" ht="15" hidden="false" customHeight="false" outlineLevel="0" collapsed="false">
      <c r="A43" s="4" t="s">
        <v>178</v>
      </c>
      <c r="B43" s="14" t="n">
        <v>9</v>
      </c>
      <c r="C43" s="11" t="s">
        <v>188</v>
      </c>
      <c r="D43" s="12" t="n">
        <v>560000</v>
      </c>
      <c r="E43" s="20" t="n">
        <f aca="false">SUM($D$35:D43)</f>
        <v>1020400</v>
      </c>
      <c r="F43" s="21" t="n">
        <v>1.2</v>
      </c>
      <c r="G43" s="4" t="s">
        <v>180</v>
      </c>
      <c r="H43" s="23" t="n">
        <f aca="false">가정!$B$9*(1+F43*가정!$B$10)</f>
        <v>0.0136</v>
      </c>
      <c r="I43" s="24" t="n">
        <f aca="false">ROUND(1/H43,0)</f>
        <v>74</v>
      </c>
    </row>
    <row r="44" customFormat="false" ht="15" hidden="false" customHeight="false" outlineLevel="0" collapsed="false">
      <c r="A44" s="4" t="s">
        <v>178</v>
      </c>
      <c r="B44" s="14" t="n">
        <v>10</v>
      </c>
      <c r="C44" s="11" t="s">
        <v>189</v>
      </c>
      <c r="D44" s="12" t="n">
        <v>1200000</v>
      </c>
      <c r="E44" s="20" t="n">
        <f aca="false">SUM($D$35:D44)</f>
        <v>2220400</v>
      </c>
      <c r="F44" s="21" t="n">
        <v>1.3</v>
      </c>
      <c r="G44" s="4" t="s">
        <v>180</v>
      </c>
      <c r="H44" s="23" t="n">
        <f aca="false">가정!$B$9*(1+F44*가정!$B$10)</f>
        <v>0.0144</v>
      </c>
      <c r="I44" s="24" t="n">
        <f aca="false">ROUND(1/H44,0)</f>
        <v>69</v>
      </c>
    </row>
    <row r="45" customFormat="false" ht="15" hidden="false" customHeight="false" outlineLevel="0" collapsed="false">
      <c r="C45" s="25" t="s">
        <v>190</v>
      </c>
      <c r="D45" s="26" t="n">
        <f aca="false">SUM(D5:D44)</f>
        <v>9449700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5" min="13" style="0" width="9"/>
    <col collapsed="false" customWidth="true" hidden="false" outlineLevel="0" max="17" min="16" style="0" width="8"/>
    <col collapsed="false" customWidth="true" hidden="false" outlineLevel="0" max="20" min="18" style="0" width="14"/>
  </cols>
  <sheetData>
    <row r="1" customFormat="false" ht="16.1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4" customFormat="false" ht="31.5" hidden="false" customHeight="true" outlineLevel="0" collapsed="false">
      <c r="A4" s="3" t="s">
        <v>193</v>
      </c>
      <c r="B4" s="3" t="s">
        <v>126</v>
      </c>
      <c r="C4" s="3" t="s">
        <v>194</v>
      </c>
      <c r="D4" s="3" t="s">
        <v>195</v>
      </c>
      <c r="E4" s="3" t="s">
        <v>196</v>
      </c>
      <c r="F4" s="3" t="s">
        <v>197</v>
      </c>
      <c r="G4" s="3" t="s">
        <v>198</v>
      </c>
      <c r="H4" s="3" t="s">
        <v>199</v>
      </c>
      <c r="I4" s="3" t="s">
        <v>200</v>
      </c>
      <c r="J4" s="3" t="s">
        <v>201</v>
      </c>
      <c r="K4" s="3" t="s">
        <v>202</v>
      </c>
      <c r="L4" s="3" t="s">
        <v>203</v>
      </c>
      <c r="M4" s="3" t="s">
        <v>204</v>
      </c>
      <c r="N4" s="3" t="s">
        <v>205</v>
      </c>
      <c r="O4" s="3" t="s">
        <v>206</v>
      </c>
      <c r="P4" s="3" t="s">
        <v>207</v>
      </c>
      <c r="Q4" s="3" t="s">
        <v>208</v>
      </c>
      <c r="R4" s="3" t="s">
        <v>209</v>
      </c>
      <c r="S4" s="3" t="s">
        <v>210</v>
      </c>
      <c r="T4" s="3" t="s">
        <v>211</v>
      </c>
    </row>
    <row r="5" customFormat="false" ht="15" hidden="false" customHeight="false" outlineLevel="0" collapsed="false">
      <c r="A5" s="4" t="s">
        <v>212</v>
      </c>
      <c r="B5" s="11" t="s">
        <v>213</v>
      </c>
      <c r="C5" s="11" t="s">
        <v>214</v>
      </c>
      <c r="D5" s="4"/>
      <c r="E5" s="9" t="n">
        <v>12</v>
      </c>
      <c r="F5" s="9" t="n">
        <v>30</v>
      </c>
      <c r="G5" s="12" t="n">
        <v>12</v>
      </c>
      <c r="H5" s="22" t="n">
        <v>0.15</v>
      </c>
      <c r="I5" s="27" t="n">
        <f aca="false">(E5+F5)/2</f>
        <v>21</v>
      </c>
      <c r="J5" s="20" t="n">
        <f aca="false">MAX(1,ROUND(G5*(E5/I5)^2,0))</f>
        <v>4</v>
      </c>
      <c r="K5" s="20" t="n">
        <f aca="false">MAX(1,ROUND(G5*(F5/I5)^2,0))</f>
        <v>24</v>
      </c>
      <c r="L5" s="20" t="n">
        <f aca="false">G5*(E5^2+2*E5*(F5-E5)/(1+가정!$B$5)+(F5-E5)^2/(1+2*가정!$B$5))/I5^2</f>
        <v>10.0332107998479</v>
      </c>
      <c r="M5" s="4" t="str">
        <f aca="false">INDEX(등급!$A$4:$A$8,MATCH(J5,등급!$B$4:$B$8,1))</f>
        <v>일반</v>
      </c>
      <c r="N5" s="14" t="n">
        <f aca="false">MATCH(K5,등급!$B$4:$B$8,1)-1</f>
        <v>0</v>
      </c>
      <c r="O5" s="4" t="str">
        <f aca="false">INDEX(등급!$A$4:$A$8,N5+1)</f>
        <v>일반</v>
      </c>
      <c r="P5" s="28" t="n">
        <f aca="false">MIN(1,H5*가정!$B$24+(MATCH(J5,등급!$B$4:$B$8,1)-1)*가정!$B$25)</f>
        <v>0.105</v>
      </c>
      <c r="Q5" s="28" t="n">
        <f aca="false">MIN(1,H5*가정!$B$24+N5*가정!$B$25+가정!$B$26)</f>
        <v>0.225</v>
      </c>
      <c r="R5" s="29" t="n">
        <f aca="false">장비!$F$5*(1-Q5*가정!$B$14)*가정!$B$15</f>
        <v>0.24495</v>
      </c>
      <c r="S5" s="29" t="n">
        <f aca="false">장비!$F$9*(1-Q5*가정!$B$14)*가정!$B$15</f>
        <v>0.41845625</v>
      </c>
      <c r="T5" s="14" t="n">
        <f aca="false">MATCH(G5,등급!$B$4:$B$8,1)-1</f>
        <v>0</v>
      </c>
    </row>
    <row r="6" customFormat="false" ht="15" hidden="false" customHeight="false" outlineLevel="0" collapsed="false">
      <c r="A6" s="4" t="s">
        <v>215</v>
      </c>
      <c r="B6" s="11" t="s">
        <v>216</v>
      </c>
      <c r="C6" s="11" t="s">
        <v>214</v>
      </c>
      <c r="D6" s="4"/>
      <c r="E6" s="9" t="n">
        <v>25</v>
      </c>
      <c r="F6" s="9" t="n">
        <v>50</v>
      </c>
      <c r="G6" s="12" t="n">
        <v>30</v>
      </c>
      <c r="H6" s="22" t="n">
        <v>0.3</v>
      </c>
      <c r="I6" s="27" t="n">
        <f aca="false">(E6+F6)/2</f>
        <v>37.5</v>
      </c>
      <c r="J6" s="20" t="n">
        <f aca="false">MAX(1,ROUND(G6*(E6/I6)^2,0))</f>
        <v>13</v>
      </c>
      <c r="K6" s="20" t="n">
        <f aca="false">MAX(1,ROUND(G6*(F6/I6)^2,0))</f>
        <v>53</v>
      </c>
      <c r="L6" s="20" t="n">
        <f aca="false">G6*(E6^2+2*E6*(F6-E6)/(1+가정!$B$5)+(F6-E6)^2/(1+2*가정!$B$5))/I6^2</f>
        <v>25.7556935817805</v>
      </c>
      <c r="M6" s="4" t="str">
        <f aca="false">INDEX(등급!$A$4:$A$8,MATCH(J6,등급!$B$4:$B$8,1))</f>
        <v>일반</v>
      </c>
      <c r="N6" s="14" t="n">
        <f aca="false">MATCH(K6,등급!$B$4:$B$8,1)-1</f>
        <v>0</v>
      </c>
      <c r="O6" s="4" t="str">
        <f aca="false">INDEX(등급!$A$4:$A$8,N6+1)</f>
        <v>일반</v>
      </c>
      <c r="P6" s="28" t="n">
        <f aca="false">MIN(1,H6*가정!$B$24+(MATCH(J6,등급!$B$4:$B$8,1)-1)*가정!$B$25)</f>
        <v>0.21</v>
      </c>
      <c r="Q6" s="28" t="n">
        <f aca="false">MIN(1,H6*가정!$B$24+N6*가정!$B$25+가정!$B$26)</f>
        <v>0.33</v>
      </c>
      <c r="R6" s="29" t="n">
        <f aca="false">장비!$F$5*(1-Q6*가정!$B$14)*가정!$B$15</f>
        <v>0.23046</v>
      </c>
      <c r="S6" s="29" t="n">
        <f aca="false">장비!$F$9*(1-Q6*가정!$B$14)*가정!$B$15</f>
        <v>0.3937025</v>
      </c>
      <c r="T6" s="14" t="n">
        <f aca="false">MATCH(G6,등급!$B$4:$B$8,1)-1</f>
        <v>0</v>
      </c>
    </row>
    <row r="7" customFormat="false" ht="15" hidden="false" customHeight="false" outlineLevel="0" collapsed="false">
      <c r="A7" s="4" t="s">
        <v>217</v>
      </c>
      <c r="B7" s="11" t="s">
        <v>218</v>
      </c>
      <c r="C7" s="11" t="s">
        <v>214</v>
      </c>
      <c r="D7" s="4"/>
      <c r="E7" s="9" t="n">
        <v>30</v>
      </c>
      <c r="F7" s="9" t="n">
        <v>80</v>
      </c>
      <c r="G7" s="12" t="n">
        <v>60</v>
      </c>
      <c r="H7" s="22" t="n">
        <v>0.45</v>
      </c>
      <c r="I7" s="27" t="n">
        <f aca="false">(E7+F7)/2</f>
        <v>55</v>
      </c>
      <c r="J7" s="20" t="n">
        <f aca="false">MAX(1,ROUND(G7*(E7/I7)^2,0))</f>
        <v>18</v>
      </c>
      <c r="K7" s="20" t="n">
        <f aca="false">MAX(1,ROUND(G7*(F7/I7)^2,0))</f>
        <v>127</v>
      </c>
      <c r="L7" s="20" t="n">
        <f aca="false">G7*(E7^2+2*E7*(F7-E7)/(1+가정!$B$5)+(F7-E7)^2/(1+2*가정!$B$5))/I7^2</f>
        <v>49.882449566244</v>
      </c>
      <c r="M7" s="4" t="str">
        <f aca="false">INDEX(등급!$A$4:$A$8,MATCH(J7,등급!$B$4:$B$8,1))</f>
        <v>일반</v>
      </c>
      <c r="N7" s="14" t="n">
        <f aca="false">MATCH(K7,등급!$B$4:$B$8,1)-1</f>
        <v>1</v>
      </c>
      <c r="O7" s="4" t="str">
        <f aca="false">INDEX(등급!$A$4:$A$8,N7+1)</f>
        <v>고급</v>
      </c>
      <c r="P7" s="28" t="n">
        <f aca="false">MIN(1,H7*가정!$B$24+(MATCH(J7,등급!$B$4:$B$8,1)-1)*가정!$B$25)</f>
        <v>0.315</v>
      </c>
      <c r="Q7" s="28" t="n">
        <f aca="false">MIN(1,H7*가정!$B$24+N7*가정!$B$25+가정!$B$26)</f>
        <v>0.485</v>
      </c>
      <c r="R7" s="29" t="n">
        <f aca="false">장비!$F$5*(1-Q7*가정!$B$14)*가정!$B$15</f>
        <v>0.20907</v>
      </c>
      <c r="S7" s="29" t="n">
        <f aca="false">장비!$F$9*(1-Q7*가정!$B$14)*가정!$B$15</f>
        <v>0.35716125</v>
      </c>
      <c r="T7" s="14" t="n">
        <f aca="false">MATCH(G7,등급!$B$4:$B$8,1)-1</f>
        <v>1</v>
      </c>
    </row>
    <row r="8" customFormat="false" ht="15" hidden="false" customHeight="false" outlineLevel="0" collapsed="false">
      <c r="A8" s="4" t="s">
        <v>219</v>
      </c>
      <c r="B8" s="11" t="s">
        <v>220</v>
      </c>
      <c r="C8" s="11" t="s">
        <v>214</v>
      </c>
      <c r="D8" s="4"/>
      <c r="E8" s="9" t="n">
        <v>6</v>
      </c>
      <c r="F8" s="9" t="n">
        <v>15</v>
      </c>
      <c r="G8" s="12" t="n">
        <v>6</v>
      </c>
      <c r="H8" s="22" t="n">
        <v>0.1</v>
      </c>
      <c r="I8" s="27" t="n">
        <f aca="false">(E8+F8)/2</f>
        <v>10.5</v>
      </c>
      <c r="J8" s="20" t="n">
        <f aca="false">MAX(1,ROUND(G8*(E8/I8)^2,0))</f>
        <v>2</v>
      </c>
      <c r="K8" s="20" t="n">
        <f aca="false">MAX(1,ROUND(G8*(F8/I8)^2,0))</f>
        <v>12</v>
      </c>
      <c r="L8" s="20" t="n">
        <f aca="false">G8*(E8^2+2*E8*(F8-E8)/(1+가정!$B$5)+(F8-E8)^2/(1+2*가정!$B$5))/I8^2</f>
        <v>5.01660539992395</v>
      </c>
      <c r="M8" s="4" t="str">
        <f aca="false">INDEX(등급!$A$4:$A$8,MATCH(J8,등급!$B$4:$B$8,1))</f>
        <v>일반</v>
      </c>
      <c r="N8" s="14" t="n">
        <f aca="false">MATCH(K8,등급!$B$4:$B$8,1)-1</f>
        <v>0</v>
      </c>
      <c r="O8" s="4" t="str">
        <f aca="false">INDEX(등급!$A$4:$A$8,N8+1)</f>
        <v>일반</v>
      </c>
      <c r="P8" s="28" t="n">
        <f aca="false">MIN(1,H8*가정!$B$24+(MATCH(J8,등급!$B$4:$B$8,1)-1)*가정!$B$25)</f>
        <v>0.07</v>
      </c>
      <c r="Q8" s="28" t="n">
        <f aca="false">MIN(1,H8*가정!$B$24+N8*가정!$B$25+가정!$B$26)</f>
        <v>0.19</v>
      </c>
      <c r="R8" s="29" t="n">
        <f aca="false">장비!$F$5*(1-Q8*가정!$B$14)*가정!$B$15</f>
        <v>0.24978</v>
      </c>
      <c r="S8" s="29" t="n">
        <f aca="false">장비!$F$9*(1-Q8*가정!$B$14)*가정!$B$15</f>
        <v>0.4267075</v>
      </c>
      <c r="T8" s="14" t="n">
        <f aca="false">MATCH(G8,등급!$B$4:$B$8,1)-1</f>
        <v>0</v>
      </c>
    </row>
    <row r="9" customFormat="false" ht="15" hidden="false" customHeight="false" outlineLevel="0" collapsed="false">
      <c r="A9" s="4" t="s">
        <v>221</v>
      </c>
      <c r="B9" s="11" t="s">
        <v>222</v>
      </c>
      <c r="C9" s="11" t="s">
        <v>223</v>
      </c>
      <c r="D9" s="4"/>
      <c r="E9" s="9" t="n">
        <v>30</v>
      </c>
      <c r="F9" s="9" t="n">
        <v>90</v>
      </c>
      <c r="G9" s="12" t="n">
        <v>70</v>
      </c>
      <c r="H9" s="22" t="n">
        <v>0.5</v>
      </c>
      <c r="I9" s="27" t="n">
        <f aca="false">(E9+F9)/2</f>
        <v>60</v>
      </c>
      <c r="J9" s="20" t="n">
        <f aca="false">MAX(1,ROUND(G9*(E9/I9)^2,0))</f>
        <v>18</v>
      </c>
      <c r="K9" s="20" t="n">
        <f aca="false">MAX(1,ROUND(G9*(F9/I9)^2,0))</f>
        <v>158</v>
      </c>
      <c r="L9" s="20" t="n">
        <f aca="false">G9*(E9^2+2*E9*(F9-E9)/(1+가정!$B$5)+(F9-E9)^2/(1+2*가정!$B$5))/I9^2</f>
        <v>57.7173913043478</v>
      </c>
      <c r="M9" s="4" t="str">
        <f aca="false">INDEX(등급!$A$4:$A$8,MATCH(J9,등급!$B$4:$B$8,1))</f>
        <v>일반</v>
      </c>
      <c r="N9" s="14" t="n">
        <f aca="false">MATCH(K9,등급!$B$4:$B$8,1)-1</f>
        <v>1</v>
      </c>
      <c r="O9" s="4" t="str">
        <f aca="false">INDEX(등급!$A$4:$A$8,N9+1)</f>
        <v>고급</v>
      </c>
      <c r="P9" s="28" t="n">
        <f aca="false">MIN(1,H9*가정!$B$24+(MATCH(J9,등급!$B$4:$B$8,1)-1)*가정!$B$25)</f>
        <v>0.35</v>
      </c>
      <c r="Q9" s="28" t="n">
        <f aca="false">MIN(1,H9*가정!$B$24+N9*가정!$B$25+가정!$B$26)</f>
        <v>0.52</v>
      </c>
      <c r="R9" s="29" t="n">
        <f aca="false">장비!$F$5*(1-Q9*가정!$B$14)*가정!$B$15</f>
        <v>0.20424</v>
      </c>
      <c r="S9" s="29" t="n">
        <f aca="false">장비!$F$9*(1-Q9*가정!$B$14)*가정!$B$15</f>
        <v>0.34891</v>
      </c>
      <c r="T9" s="14" t="n">
        <f aca="false">MATCH(G9,등급!$B$4:$B$8,1)-1</f>
        <v>1</v>
      </c>
    </row>
    <row r="10" customFormat="false" ht="15" hidden="false" customHeight="false" outlineLevel="0" collapsed="false">
      <c r="A10" s="4" t="s">
        <v>224</v>
      </c>
      <c r="B10" s="11" t="s">
        <v>225</v>
      </c>
      <c r="C10" s="11" t="s">
        <v>223</v>
      </c>
      <c r="D10" s="4"/>
      <c r="E10" s="9" t="n">
        <v>20</v>
      </c>
      <c r="F10" s="9" t="n">
        <v>55</v>
      </c>
      <c r="G10" s="12" t="n">
        <v>160</v>
      </c>
      <c r="H10" s="22" t="n">
        <v>0.55</v>
      </c>
      <c r="I10" s="27" t="n">
        <f aca="false">(E10+F10)/2</f>
        <v>37.5</v>
      </c>
      <c r="J10" s="20" t="n">
        <f aca="false">MAX(1,ROUND(G10*(E10/I10)^2,0))</f>
        <v>46</v>
      </c>
      <c r="K10" s="20" t="n">
        <f aca="false">MAX(1,ROUND(G10*(F10/I10)^2,0))</f>
        <v>344</v>
      </c>
      <c r="L10" s="20" t="n">
        <f aca="false">G10*(E10^2+2*E10*(F10-E10)/(1+가정!$B$5)+(F10-E10)^2/(1+2*가정!$B$5))/I10^2</f>
        <v>132.699516908213</v>
      </c>
      <c r="M10" s="4" t="str">
        <f aca="false">INDEX(등급!$A$4:$A$8,MATCH(J10,등급!$B$4:$B$8,1))</f>
        <v>일반</v>
      </c>
      <c r="N10" s="14" t="n">
        <f aca="false">MATCH(K10,등급!$B$4:$B$8,1)-1</f>
        <v>2</v>
      </c>
      <c r="O10" s="4" t="str">
        <f aca="false">INDEX(등급!$A$4:$A$8,N10+1)</f>
        <v>희귀</v>
      </c>
      <c r="P10" s="28" t="n">
        <f aca="false">MIN(1,H10*가정!$B$24+(MATCH(J10,등급!$B$4:$B$8,1)-1)*가정!$B$25)</f>
        <v>0.385</v>
      </c>
      <c r="Q10" s="28" t="n">
        <f aca="false">MIN(1,H10*가정!$B$24+N10*가정!$B$25+가정!$B$26)</f>
        <v>0.605</v>
      </c>
      <c r="R10" s="29" t="n">
        <f aca="false">장비!$F$5*(1-Q10*가정!$B$14)*가정!$B$15</f>
        <v>0.19251</v>
      </c>
      <c r="S10" s="29" t="n">
        <f aca="false">장비!$F$9*(1-Q10*가정!$B$14)*가정!$B$15</f>
        <v>0.32887125</v>
      </c>
      <c r="T10" s="14" t="n">
        <f aca="false">MATCH(G10,등급!$B$4:$B$8,1)-1</f>
        <v>1</v>
      </c>
    </row>
    <row r="11" customFormat="false" ht="15" hidden="false" customHeight="false" outlineLevel="0" collapsed="false">
      <c r="A11" s="4" t="s">
        <v>226</v>
      </c>
      <c r="B11" s="11" t="s">
        <v>227</v>
      </c>
      <c r="C11" s="11" t="s">
        <v>223</v>
      </c>
      <c r="D11" s="4"/>
      <c r="E11" s="9" t="n">
        <v>40</v>
      </c>
      <c r="F11" s="9" t="n">
        <v>100</v>
      </c>
      <c r="G11" s="12" t="n">
        <v>400</v>
      </c>
      <c r="H11" s="22" t="n">
        <v>0.7</v>
      </c>
      <c r="I11" s="27" t="n">
        <f aca="false">(E11+F11)/2</f>
        <v>70</v>
      </c>
      <c r="J11" s="20" t="n">
        <f aca="false">MAX(1,ROUND(G11*(E11/I11)^2,0))</f>
        <v>131</v>
      </c>
      <c r="K11" s="20" t="n">
        <f aca="false">MAX(1,ROUND(G11*(F11/I11)^2,0))</f>
        <v>816</v>
      </c>
      <c r="L11" s="20" t="n">
        <f aca="false">G11*(E11^2+2*E11*(F11-E11)/(1+가정!$B$5)+(F11-E11)^2/(1+2*가정!$B$5))/I11^2</f>
        <v>334.44035999493</v>
      </c>
      <c r="M11" s="4" t="str">
        <f aca="false">INDEX(등급!$A$4:$A$8,MATCH(J11,등급!$B$4:$B$8,1))</f>
        <v>고급</v>
      </c>
      <c r="N11" s="14" t="n">
        <f aca="false">MATCH(K11,등급!$B$4:$B$8,1)-1</f>
        <v>3</v>
      </c>
      <c r="O11" s="4" t="str">
        <f aca="false">INDEX(등급!$A$4:$A$8,N11+1)</f>
        <v>영웅</v>
      </c>
      <c r="P11" s="28" t="n">
        <f aca="false">MIN(1,H11*가정!$B$24+(MATCH(J11,등급!$B$4:$B$8,1)-1)*가정!$B$25)</f>
        <v>0.54</v>
      </c>
      <c r="Q11" s="28" t="n">
        <f aca="false">MIN(1,H11*가정!$B$24+N11*가정!$B$25+가정!$B$26)</f>
        <v>0.76</v>
      </c>
      <c r="R11" s="29" t="n">
        <f aca="false">장비!$F$5*(1-Q11*가정!$B$14)*가정!$B$15</f>
        <v>0.17112</v>
      </c>
      <c r="S11" s="29" t="n">
        <f aca="false">장비!$F$9*(1-Q11*가정!$B$14)*가정!$B$15</f>
        <v>0.29233</v>
      </c>
      <c r="T11" s="14" t="n">
        <f aca="false">MATCH(G11,등급!$B$4:$B$8,1)-1</f>
        <v>2</v>
      </c>
    </row>
    <row r="12" customFormat="false" ht="15" hidden="false" customHeight="false" outlineLevel="0" collapsed="false">
      <c r="A12" s="4" t="s">
        <v>228</v>
      </c>
      <c r="B12" s="11" t="s">
        <v>229</v>
      </c>
      <c r="C12" s="11" t="s">
        <v>223</v>
      </c>
      <c r="D12" s="4"/>
      <c r="E12" s="9" t="n">
        <v>80</v>
      </c>
      <c r="F12" s="9" t="n">
        <v>200</v>
      </c>
      <c r="G12" s="12" t="n">
        <v>1800</v>
      </c>
      <c r="H12" s="22" t="n">
        <v>0.9</v>
      </c>
      <c r="I12" s="27" t="n">
        <f aca="false">(E12+F12)/2</f>
        <v>140</v>
      </c>
      <c r="J12" s="20" t="n">
        <f aca="false">MAX(1,ROUND(G12*(E12/I12)^2,0))</f>
        <v>588</v>
      </c>
      <c r="K12" s="20" t="n">
        <f aca="false">MAX(1,ROUND(G12*(F12/I12)^2,0))</f>
        <v>3673</v>
      </c>
      <c r="L12" s="20" t="n">
        <f aca="false">G12*(E12^2+2*E12*(F12-E12)/(1+가정!$B$5)+(F12-E12)^2/(1+2*가정!$B$5))/I12^2</f>
        <v>1504.98161997718</v>
      </c>
      <c r="M12" s="4" t="str">
        <f aca="false">INDEX(등급!$A$4:$A$8,MATCH(J12,등급!$B$4:$B$8,1))</f>
        <v>희귀</v>
      </c>
      <c r="N12" s="14" t="n">
        <f aca="false">MATCH(K12,등급!$B$4:$B$8,1)-1</f>
        <v>4</v>
      </c>
      <c r="O12" s="4" t="str">
        <f aca="false">INDEX(등급!$A$4:$A$8,N12+1)</f>
        <v>전설</v>
      </c>
      <c r="P12" s="28" t="n">
        <f aca="false">MIN(1,H12*가정!$B$24+(MATCH(J12,등급!$B$4:$B$8,1)-1)*가정!$B$25)</f>
        <v>0.73</v>
      </c>
      <c r="Q12" s="28" t="n">
        <f aca="false">MIN(1,H12*가정!$B$24+N12*가정!$B$25+가정!$B$26)</f>
        <v>0.95</v>
      </c>
      <c r="R12" s="29" t="n">
        <f aca="false">장비!$F$5*(1-Q12*가정!$B$14)*가정!$B$15</f>
        <v>0.1449</v>
      </c>
      <c r="S12" s="29" t="n">
        <f aca="false">장비!$F$9*(1-Q12*가정!$B$14)*가정!$B$15</f>
        <v>0.2475375</v>
      </c>
      <c r="T12" s="14" t="n">
        <f aca="false">MATCH(G12,등급!$B$4:$B$8,1)-1</f>
        <v>3</v>
      </c>
    </row>
    <row r="13" customFormat="false" ht="15" hidden="false" customHeight="false" outlineLevel="0" collapsed="false">
      <c r="A13" s="4" t="s">
        <v>230</v>
      </c>
      <c r="B13" s="11" t="s">
        <v>231</v>
      </c>
      <c r="C13" s="11" t="s">
        <v>214</v>
      </c>
      <c r="D13" s="4"/>
      <c r="E13" s="9" t="n">
        <v>8</v>
      </c>
      <c r="F13" s="9" t="n">
        <v>25</v>
      </c>
      <c r="G13" s="12" t="n">
        <v>15</v>
      </c>
      <c r="H13" s="22" t="n">
        <v>0.15</v>
      </c>
      <c r="I13" s="27" t="n">
        <f aca="false">(E13+F13)/2</f>
        <v>16.5</v>
      </c>
      <c r="J13" s="20" t="n">
        <f aca="false">MAX(1,ROUND(G13*(E13/I13)^2,0))</f>
        <v>4</v>
      </c>
      <c r="K13" s="20" t="n">
        <f aca="false">MAX(1,ROUND(G13*(F13/I13)^2,0))</f>
        <v>34</v>
      </c>
      <c r="L13" s="20" t="n">
        <f aca="false">G13*(E13^2+2*E13*(F13-E13)/(1+가정!$B$5)+(F13-E13)^2/(1+2*가정!$B$5))/I13^2</f>
        <v>12.3398867272385</v>
      </c>
      <c r="M13" s="4" t="str">
        <f aca="false">INDEX(등급!$A$4:$A$8,MATCH(J13,등급!$B$4:$B$8,1))</f>
        <v>일반</v>
      </c>
      <c r="N13" s="14" t="n">
        <f aca="false">MATCH(K13,등급!$B$4:$B$8,1)-1</f>
        <v>0</v>
      </c>
      <c r="O13" s="4" t="str">
        <f aca="false">INDEX(등급!$A$4:$A$8,N13+1)</f>
        <v>일반</v>
      </c>
      <c r="P13" s="28" t="n">
        <f aca="false">MIN(1,H13*가정!$B$24+(MATCH(J13,등급!$B$4:$B$8,1)-1)*가정!$B$25)</f>
        <v>0.105</v>
      </c>
      <c r="Q13" s="28" t="n">
        <f aca="false">MIN(1,H13*가정!$B$24+N13*가정!$B$25+가정!$B$26)</f>
        <v>0.225</v>
      </c>
      <c r="R13" s="29" t="n">
        <f aca="false">장비!$F$5*(1-Q13*가정!$B$14)*가정!$B$15</f>
        <v>0.24495</v>
      </c>
      <c r="S13" s="29" t="n">
        <f aca="false">장비!$F$9*(1-Q13*가정!$B$14)*가정!$B$15</f>
        <v>0.41845625</v>
      </c>
      <c r="T13" s="14" t="n">
        <f aca="false">MATCH(G13,등급!$B$4:$B$8,1)-1</f>
        <v>0</v>
      </c>
    </row>
    <row r="14" customFormat="false" ht="15" hidden="false" customHeight="false" outlineLevel="0" collapsed="false">
      <c r="A14" s="4" t="s">
        <v>232</v>
      </c>
      <c r="B14" s="11" t="s">
        <v>233</v>
      </c>
      <c r="C14" s="11" t="s">
        <v>223</v>
      </c>
      <c r="D14" s="4"/>
      <c r="E14" s="9" t="n">
        <v>15</v>
      </c>
      <c r="F14" s="9" t="n">
        <v>40</v>
      </c>
      <c r="G14" s="12" t="n">
        <v>35</v>
      </c>
      <c r="H14" s="22" t="n">
        <v>0.3</v>
      </c>
      <c r="I14" s="27" t="n">
        <f aca="false">(E14+F14)/2</f>
        <v>27.5</v>
      </c>
      <c r="J14" s="20" t="n">
        <f aca="false">MAX(1,ROUND(G14*(E14/I14)^2,0))</f>
        <v>10</v>
      </c>
      <c r="K14" s="20" t="n">
        <f aca="false">MAX(1,ROUND(G14*(F14/I14)^2,0))</f>
        <v>74</v>
      </c>
      <c r="L14" s="20" t="n">
        <f aca="false">G14*(E14^2+2*E14*(F14-E14)/(1+가정!$B$5)+(F14-E14)^2/(1+2*가정!$B$5))/I14^2</f>
        <v>29.098095580309</v>
      </c>
      <c r="M14" s="4" t="str">
        <f aca="false">INDEX(등급!$A$4:$A$8,MATCH(J14,등급!$B$4:$B$8,1))</f>
        <v>일반</v>
      </c>
      <c r="N14" s="14" t="n">
        <f aca="false">MATCH(K14,등급!$B$4:$B$8,1)-1</f>
        <v>1</v>
      </c>
      <c r="O14" s="4" t="str">
        <f aca="false">INDEX(등급!$A$4:$A$8,N14+1)</f>
        <v>고급</v>
      </c>
      <c r="P14" s="28" t="n">
        <f aca="false">MIN(1,H14*가정!$B$24+(MATCH(J14,등급!$B$4:$B$8,1)-1)*가정!$B$25)</f>
        <v>0.21</v>
      </c>
      <c r="Q14" s="28" t="n">
        <f aca="false">MIN(1,H14*가정!$B$24+N14*가정!$B$25+가정!$B$26)</f>
        <v>0.38</v>
      </c>
      <c r="R14" s="29" t="n">
        <f aca="false">장비!$F$5*(1-Q14*가정!$B$14)*가정!$B$15</f>
        <v>0.22356</v>
      </c>
      <c r="S14" s="29" t="n">
        <f aca="false">장비!$F$9*(1-Q14*가정!$B$14)*가정!$B$15</f>
        <v>0.381915</v>
      </c>
      <c r="T14" s="14" t="n">
        <f aca="false">MATCH(G14,등급!$B$4:$B$8,1)-1</f>
        <v>0</v>
      </c>
    </row>
    <row r="15" customFormat="false" ht="15" hidden="false" customHeight="false" outlineLevel="0" collapsed="false">
      <c r="A15" s="4" t="s">
        <v>234</v>
      </c>
      <c r="B15" s="11" t="s">
        <v>235</v>
      </c>
      <c r="C15" s="11" t="s">
        <v>223</v>
      </c>
      <c r="D15" s="4"/>
      <c r="E15" s="9" t="n">
        <v>25</v>
      </c>
      <c r="F15" s="9" t="n">
        <v>50</v>
      </c>
      <c r="G15" s="12" t="n">
        <v>60</v>
      </c>
      <c r="H15" s="22" t="n">
        <v>0.4</v>
      </c>
      <c r="I15" s="27" t="n">
        <f aca="false">(E15+F15)/2</f>
        <v>37.5</v>
      </c>
      <c r="J15" s="20" t="n">
        <f aca="false">MAX(1,ROUND(G15*(E15/I15)^2,0))</f>
        <v>27</v>
      </c>
      <c r="K15" s="20" t="n">
        <f aca="false">MAX(1,ROUND(G15*(F15/I15)^2,0))</f>
        <v>107</v>
      </c>
      <c r="L15" s="20" t="n">
        <f aca="false">G15*(E15^2+2*E15*(F15-E15)/(1+가정!$B$5)+(F15-E15)^2/(1+2*가정!$B$5))/I15^2</f>
        <v>51.5113871635611</v>
      </c>
      <c r="M15" s="4" t="str">
        <f aca="false">INDEX(등급!$A$4:$A$8,MATCH(J15,등급!$B$4:$B$8,1))</f>
        <v>일반</v>
      </c>
      <c r="N15" s="14" t="n">
        <f aca="false">MATCH(K15,등급!$B$4:$B$8,1)-1</f>
        <v>1</v>
      </c>
      <c r="O15" s="4" t="str">
        <f aca="false">INDEX(등급!$A$4:$A$8,N15+1)</f>
        <v>고급</v>
      </c>
      <c r="P15" s="28" t="n">
        <f aca="false">MIN(1,H15*가정!$B$24+(MATCH(J15,등급!$B$4:$B$8,1)-1)*가정!$B$25)</f>
        <v>0.28</v>
      </c>
      <c r="Q15" s="28" t="n">
        <f aca="false">MIN(1,H15*가정!$B$24+N15*가정!$B$25+가정!$B$26)</f>
        <v>0.45</v>
      </c>
      <c r="R15" s="29" t="n">
        <f aca="false">장비!$F$5*(1-Q15*가정!$B$14)*가정!$B$15</f>
        <v>0.2139</v>
      </c>
      <c r="S15" s="29" t="n">
        <f aca="false">장비!$F$9*(1-Q15*가정!$B$14)*가정!$B$15</f>
        <v>0.3654125</v>
      </c>
      <c r="T15" s="14" t="n">
        <f aca="false">MATCH(G15,등급!$B$4:$B$8,1)-1</f>
        <v>1</v>
      </c>
    </row>
    <row r="16" customFormat="false" ht="15" hidden="false" customHeight="false" outlineLevel="0" collapsed="false">
      <c r="A16" s="4" t="s">
        <v>236</v>
      </c>
      <c r="B16" s="11" t="s">
        <v>237</v>
      </c>
      <c r="C16" s="11" t="s">
        <v>214</v>
      </c>
      <c r="D16" s="4"/>
      <c r="E16" s="9" t="n">
        <v>20</v>
      </c>
      <c r="F16" s="9" t="n">
        <v>50</v>
      </c>
      <c r="G16" s="12" t="n">
        <v>150</v>
      </c>
      <c r="H16" s="22" t="n">
        <v>0.45</v>
      </c>
      <c r="I16" s="27" t="n">
        <f aca="false">(E16+F16)/2</f>
        <v>35</v>
      </c>
      <c r="J16" s="20" t="n">
        <f aca="false">MAX(1,ROUND(G16*(E16/I16)^2,0))</f>
        <v>49</v>
      </c>
      <c r="K16" s="20" t="n">
        <f aca="false">MAX(1,ROUND(G16*(F16/I16)^2,0))</f>
        <v>306</v>
      </c>
      <c r="L16" s="20" t="n">
        <f aca="false">G16*(E16^2+2*E16*(F16-E16)/(1+가정!$B$5)+(F16-E16)^2/(1+2*가정!$B$5))/I16^2</f>
        <v>125.415134998099</v>
      </c>
      <c r="M16" s="4" t="str">
        <f aca="false">INDEX(등급!$A$4:$A$8,MATCH(J16,등급!$B$4:$B$8,1))</f>
        <v>일반</v>
      </c>
      <c r="N16" s="14" t="n">
        <f aca="false">MATCH(K16,등급!$B$4:$B$8,1)-1</f>
        <v>2</v>
      </c>
      <c r="O16" s="4" t="str">
        <f aca="false">INDEX(등급!$A$4:$A$8,N16+1)</f>
        <v>희귀</v>
      </c>
      <c r="P16" s="28" t="n">
        <f aca="false">MIN(1,H16*가정!$B$24+(MATCH(J16,등급!$B$4:$B$8,1)-1)*가정!$B$25)</f>
        <v>0.315</v>
      </c>
      <c r="Q16" s="28" t="n">
        <f aca="false">MIN(1,H16*가정!$B$24+N16*가정!$B$25+가정!$B$26)</f>
        <v>0.535</v>
      </c>
      <c r="R16" s="29" t="n">
        <f aca="false">장비!$F$5*(1-Q16*가정!$B$14)*가정!$B$15</f>
        <v>0.20217</v>
      </c>
      <c r="S16" s="29" t="n">
        <f aca="false">장비!$F$9*(1-Q16*가정!$B$14)*가정!$B$15</f>
        <v>0.34537375</v>
      </c>
      <c r="T16" s="14" t="n">
        <f aca="false">MATCH(G16,등급!$B$4:$B$8,1)-1</f>
        <v>1</v>
      </c>
    </row>
    <row r="17" customFormat="false" ht="15" hidden="false" customHeight="false" outlineLevel="0" collapsed="false">
      <c r="A17" s="4" t="s">
        <v>238</v>
      </c>
      <c r="B17" s="11" t="s">
        <v>239</v>
      </c>
      <c r="C17" s="11" t="s">
        <v>214</v>
      </c>
      <c r="D17" s="4"/>
      <c r="E17" s="9" t="n">
        <v>25</v>
      </c>
      <c r="F17" s="9" t="n">
        <v>60</v>
      </c>
      <c r="G17" s="12" t="n">
        <v>450</v>
      </c>
      <c r="H17" s="22" t="n">
        <v>0.6</v>
      </c>
      <c r="I17" s="27" t="n">
        <f aca="false">(E17+F17)/2</f>
        <v>42.5</v>
      </c>
      <c r="J17" s="20" t="n">
        <f aca="false">MAX(1,ROUND(G17*(E17/I17)^2,0))</f>
        <v>156</v>
      </c>
      <c r="K17" s="20" t="n">
        <f aca="false">MAX(1,ROUND(G17*(F17/I17)^2,0))</f>
        <v>897</v>
      </c>
      <c r="L17" s="20" t="n">
        <f aca="false">G17*(E17^2+2*E17*(F17-E17)/(1+가정!$B$5)+(F17-E17)^2/(1+2*가정!$B$5))/I17^2</f>
        <v>377.764404994735</v>
      </c>
      <c r="M17" s="4" t="str">
        <f aca="false">INDEX(등급!$A$4:$A$8,MATCH(J17,등급!$B$4:$B$8,1))</f>
        <v>고급</v>
      </c>
      <c r="N17" s="14" t="n">
        <f aca="false">MATCH(K17,등급!$B$4:$B$8,1)-1</f>
        <v>3</v>
      </c>
      <c r="O17" s="4" t="str">
        <f aca="false">INDEX(등급!$A$4:$A$8,N17+1)</f>
        <v>영웅</v>
      </c>
      <c r="P17" s="28" t="n">
        <f aca="false">MIN(1,H17*가정!$B$24+(MATCH(J17,등급!$B$4:$B$8,1)-1)*가정!$B$25)</f>
        <v>0.47</v>
      </c>
      <c r="Q17" s="28" t="n">
        <f aca="false">MIN(1,H17*가정!$B$24+N17*가정!$B$25+가정!$B$26)</f>
        <v>0.69</v>
      </c>
      <c r="R17" s="29" t="n">
        <f aca="false">장비!$F$5*(1-Q17*가정!$B$14)*가정!$B$15</f>
        <v>0.18078</v>
      </c>
      <c r="S17" s="29" t="n">
        <f aca="false">장비!$F$9*(1-Q17*가정!$B$14)*가정!$B$15</f>
        <v>0.3088325</v>
      </c>
      <c r="T17" s="14" t="n">
        <f aca="false">MATCH(G17,등급!$B$4:$B$8,1)-1</f>
        <v>2</v>
      </c>
    </row>
    <row r="18" customFormat="false" ht="15" hidden="false" customHeight="false" outlineLevel="0" collapsed="false">
      <c r="A18" s="4" t="s">
        <v>240</v>
      </c>
      <c r="B18" s="11" t="s">
        <v>241</v>
      </c>
      <c r="C18" s="11" t="s">
        <v>223</v>
      </c>
      <c r="D18" s="4"/>
      <c r="E18" s="9" t="n">
        <v>40</v>
      </c>
      <c r="F18" s="9" t="n">
        <v>100</v>
      </c>
      <c r="G18" s="12" t="n">
        <v>650</v>
      </c>
      <c r="H18" s="22" t="n">
        <v>0.7</v>
      </c>
      <c r="I18" s="27" t="n">
        <f aca="false">(E18+F18)/2</f>
        <v>70</v>
      </c>
      <c r="J18" s="20" t="n">
        <f aca="false">MAX(1,ROUND(G18*(E18/I18)^2,0))</f>
        <v>212</v>
      </c>
      <c r="K18" s="20" t="n">
        <f aca="false">MAX(1,ROUND(G18*(F18/I18)^2,0))</f>
        <v>1327</v>
      </c>
      <c r="L18" s="20" t="n">
        <f aca="false">G18*(E18^2+2*E18*(F18-E18)/(1+가정!$B$5)+(F18-E18)^2/(1+2*가정!$B$5))/I18^2</f>
        <v>543.465584991761</v>
      </c>
      <c r="M18" s="4" t="str">
        <f aca="false">INDEX(등급!$A$4:$A$8,MATCH(J18,등급!$B$4:$B$8,1))</f>
        <v>희귀</v>
      </c>
      <c r="N18" s="14" t="n">
        <f aca="false">MATCH(K18,등급!$B$4:$B$8,1)-1</f>
        <v>3</v>
      </c>
      <c r="O18" s="4" t="str">
        <f aca="false">INDEX(등급!$A$4:$A$8,N18+1)</f>
        <v>영웅</v>
      </c>
      <c r="P18" s="28" t="n">
        <f aca="false">MIN(1,H18*가정!$B$24+(MATCH(J18,등급!$B$4:$B$8,1)-1)*가정!$B$25)</f>
        <v>0.59</v>
      </c>
      <c r="Q18" s="28" t="n">
        <f aca="false">MIN(1,H18*가정!$B$24+N18*가정!$B$25+가정!$B$26)</f>
        <v>0.76</v>
      </c>
      <c r="R18" s="29" t="n">
        <f aca="false">장비!$F$5*(1-Q18*가정!$B$14)*가정!$B$15</f>
        <v>0.17112</v>
      </c>
      <c r="S18" s="29" t="n">
        <f aca="false">장비!$F$9*(1-Q18*가정!$B$14)*가정!$B$15</f>
        <v>0.29233</v>
      </c>
      <c r="T18" s="14" t="n">
        <f aca="false">MATCH(G18,등급!$B$4:$B$8,1)-1</f>
        <v>2</v>
      </c>
    </row>
    <row r="19" customFormat="false" ht="15" hidden="false" customHeight="false" outlineLevel="0" collapsed="false">
      <c r="A19" s="4" t="s">
        <v>242</v>
      </c>
      <c r="B19" s="11" t="s">
        <v>243</v>
      </c>
      <c r="C19" s="11" t="s">
        <v>214</v>
      </c>
      <c r="D19" s="4"/>
      <c r="E19" s="9" t="n">
        <v>25</v>
      </c>
      <c r="F19" s="9" t="n">
        <v>55</v>
      </c>
      <c r="G19" s="12" t="n">
        <v>550</v>
      </c>
      <c r="H19" s="22" t="n">
        <v>0.75</v>
      </c>
      <c r="I19" s="27" t="n">
        <f aca="false">(E19+F19)/2</f>
        <v>40</v>
      </c>
      <c r="J19" s="20" t="n">
        <f aca="false">MAX(1,ROUND(G19*(E19/I19)^2,0))</f>
        <v>215</v>
      </c>
      <c r="K19" s="20" t="n">
        <f aca="false">MAX(1,ROUND(G19*(F19/I19)^2,0))</f>
        <v>1040</v>
      </c>
      <c r="L19" s="20" t="n">
        <f aca="false">G19*(E19^2+2*E19*(F19-E19)/(1+가정!$B$5)+(F19-E19)^2/(1+2*가정!$B$5))/I19^2</f>
        <v>466.250970496894</v>
      </c>
      <c r="M19" s="4" t="str">
        <f aca="false">INDEX(등급!$A$4:$A$8,MATCH(J19,등급!$B$4:$B$8,1))</f>
        <v>희귀</v>
      </c>
      <c r="N19" s="14" t="n">
        <f aca="false">MATCH(K19,등급!$B$4:$B$8,1)-1</f>
        <v>3</v>
      </c>
      <c r="O19" s="4" t="str">
        <f aca="false">INDEX(등급!$A$4:$A$8,N19+1)</f>
        <v>영웅</v>
      </c>
      <c r="P19" s="28" t="n">
        <f aca="false">MIN(1,H19*가정!$B$24+(MATCH(J19,등급!$B$4:$B$8,1)-1)*가정!$B$25)</f>
        <v>0.625</v>
      </c>
      <c r="Q19" s="28" t="n">
        <f aca="false">MIN(1,H19*가정!$B$24+N19*가정!$B$25+가정!$B$26)</f>
        <v>0.795</v>
      </c>
      <c r="R19" s="29" t="n">
        <f aca="false">장비!$F$5*(1-Q19*가정!$B$14)*가정!$B$15</f>
        <v>0.16629</v>
      </c>
      <c r="S19" s="29" t="n">
        <f aca="false">장비!$F$9*(1-Q19*가정!$B$14)*가정!$B$15</f>
        <v>0.28407875</v>
      </c>
      <c r="T19" s="14" t="n">
        <f aca="false">MATCH(G19,등급!$B$4:$B$8,1)-1</f>
        <v>2</v>
      </c>
    </row>
    <row r="20" customFormat="false" ht="15" hidden="false" customHeight="false" outlineLevel="0" collapsed="false">
      <c r="A20" s="4" t="s">
        <v>244</v>
      </c>
      <c r="B20" s="11" t="s">
        <v>245</v>
      </c>
      <c r="C20" s="11" t="s">
        <v>214</v>
      </c>
      <c r="D20" s="4"/>
      <c r="E20" s="9" t="n">
        <v>30</v>
      </c>
      <c r="F20" s="9" t="n">
        <v>70</v>
      </c>
      <c r="G20" s="12" t="n">
        <v>1600</v>
      </c>
      <c r="H20" s="22" t="n">
        <v>0.85</v>
      </c>
      <c r="I20" s="27" t="n">
        <f aca="false">(E20+F20)/2</f>
        <v>50</v>
      </c>
      <c r="J20" s="20" t="n">
        <f aca="false">MAX(1,ROUND(G20*(E20/I20)^2,0))</f>
        <v>576</v>
      </c>
      <c r="K20" s="20" t="n">
        <f aca="false">MAX(1,ROUND(G20*(F20/I20)^2,0))</f>
        <v>3136</v>
      </c>
      <c r="L20" s="20" t="n">
        <f aca="false">G20*(E20^2+2*E20*(F20-E20)/(1+가정!$B$5)+(F20-E20)^2/(1+2*가정!$B$5))/I20^2</f>
        <v>1347.1801242236</v>
      </c>
      <c r="M20" s="4" t="str">
        <f aca="false">INDEX(등급!$A$4:$A$8,MATCH(J20,등급!$B$4:$B$8,1))</f>
        <v>희귀</v>
      </c>
      <c r="N20" s="14" t="n">
        <f aca="false">MATCH(K20,등급!$B$4:$B$8,1)-1</f>
        <v>4</v>
      </c>
      <c r="O20" s="4" t="str">
        <f aca="false">INDEX(등급!$A$4:$A$8,N20+1)</f>
        <v>전설</v>
      </c>
      <c r="P20" s="28" t="n">
        <f aca="false">MIN(1,H20*가정!$B$24+(MATCH(J20,등급!$B$4:$B$8,1)-1)*가정!$B$25)</f>
        <v>0.695</v>
      </c>
      <c r="Q20" s="28" t="n">
        <f aca="false">MIN(1,H20*가정!$B$24+N20*가정!$B$25+가정!$B$26)</f>
        <v>0.915</v>
      </c>
      <c r="R20" s="29" t="n">
        <f aca="false">장비!$F$5*(1-Q20*가정!$B$14)*가정!$B$15</f>
        <v>0.14973</v>
      </c>
      <c r="S20" s="29" t="n">
        <f aca="false">장비!$F$9*(1-Q20*가정!$B$14)*가정!$B$15</f>
        <v>0.25578875</v>
      </c>
      <c r="T20" s="14" t="n">
        <f aca="false">MATCH(G20,등급!$B$4:$B$8,1)-1</f>
        <v>3</v>
      </c>
    </row>
    <row r="21" customFormat="false" ht="15" hidden="false" customHeight="false" outlineLevel="0" collapsed="false">
      <c r="A21" s="4" t="s">
        <v>246</v>
      </c>
      <c r="B21" s="11" t="s">
        <v>247</v>
      </c>
      <c r="C21" s="11" t="s">
        <v>223</v>
      </c>
      <c r="D21" s="4"/>
      <c r="E21" s="9" t="n">
        <v>60</v>
      </c>
      <c r="F21" s="9" t="n">
        <v>150</v>
      </c>
      <c r="G21" s="12" t="n">
        <v>180</v>
      </c>
      <c r="H21" s="22" t="n">
        <v>0.4</v>
      </c>
      <c r="I21" s="27" t="n">
        <f aca="false">(E21+F21)/2</f>
        <v>105</v>
      </c>
      <c r="J21" s="20" t="n">
        <f aca="false">MAX(1,ROUND(G21*(E21/I21)^2,0))</f>
        <v>59</v>
      </c>
      <c r="K21" s="20" t="n">
        <f aca="false">MAX(1,ROUND(G21*(F21/I21)^2,0))</f>
        <v>367</v>
      </c>
      <c r="L21" s="20" t="n">
        <f aca="false">G21*(E21^2+2*E21*(F21-E21)/(1+가정!$B$5)+(F21-E21)^2/(1+2*가정!$B$5))/I21^2</f>
        <v>150.498161997718</v>
      </c>
      <c r="M21" s="4" t="str">
        <f aca="false">INDEX(등급!$A$4:$A$8,MATCH(J21,등급!$B$4:$B$8,1))</f>
        <v>일반</v>
      </c>
      <c r="N21" s="14" t="n">
        <f aca="false">MATCH(K21,등급!$B$4:$B$8,1)-1</f>
        <v>2</v>
      </c>
      <c r="O21" s="4" t="str">
        <f aca="false">INDEX(등급!$A$4:$A$8,N21+1)</f>
        <v>희귀</v>
      </c>
      <c r="P21" s="28" t="n">
        <f aca="false">MIN(1,H21*가정!$B$24+(MATCH(J21,등급!$B$4:$B$8,1)-1)*가정!$B$25)</f>
        <v>0.28</v>
      </c>
      <c r="Q21" s="28" t="n">
        <f aca="false">MIN(1,H21*가정!$B$24+N21*가정!$B$25+가정!$B$26)</f>
        <v>0.5</v>
      </c>
      <c r="R21" s="29" t="n">
        <f aca="false">장비!$F$5*(1-Q21*가정!$B$14)*가정!$B$15</f>
        <v>0.207</v>
      </c>
      <c r="S21" s="29" t="n">
        <f aca="false">장비!$F$9*(1-Q21*가정!$B$14)*가정!$B$15</f>
        <v>0.353625</v>
      </c>
      <c r="T21" s="14" t="n">
        <f aca="false">MATCH(G21,등급!$B$4:$B$8,1)-1</f>
        <v>1</v>
      </c>
    </row>
    <row r="22" customFormat="false" ht="15" hidden="false" customHeight="false" outlineLevel="0" collapsed="false">
      <c r="A22" s="4" t="s">
        <v>248</v>
      </c>
      <c r="B22" s="11" t="s">
        <v>249</v>
      </c>
      <c r="C22" s="11" t="s">
        <v>223</v>
      </c>
      <c r="D22" s="4"/>
      <c r="E22" s="9" t="n">
        <v>35</v>
      </c>
      <c r="F22" s="9" t="n">
        <v>90</v>
      </c>
      <c r="G22" s="12" t="n">
        <v>450</v>
      </c>
      <c r="H22" s="22" t="n">
        <v>0.5</v>
      </c>
      <c r="I22" s="27" t="n">
        <f aca="false">(E22+F22)/2</f>
        <v>62.5</v>
      </c>
      <c r="J22" s="20" t="n">
        <f aca="false">MAX(1,ROUND(G22*(E22/I22)^2,0))</f>
        <v>141</v>
      </c>
      <c r="K22" s="20" t="n">
        <f aca="false">MAX(1,ROUND(G22*(F22/I22)^2,0))</f>
        <v>933</v>
      </c>
      <c r="L22" s="20" t="n">
        <f aca="false">G22*(E22^2+2*E22*(F22-E22)/(1+가정!$B$5)+(F22-E22)^2/(1+2*가정!$B$5))/I22^2</f>
        <v>375.27652173913</v>
      </c>
      <c r="M22" s="4" t="str">
        <f aca="false">INDEX(등급!$A$4:$A$8,MATCH(J22,등급!$B$4:$B$8,1))</f>
        <v>고급</v>
      </c>
      <c r="N22" s="14" t="n">
        <f aca="false">MATCH(K22,등급!$B$4:$B$8,1)-1</f>
        <v>3</v>
      </c>
      <c r="O22" s="4" t="str">
        <f aca="false">INDEX(등급!$A$4:$A$8,N22+1)</f>
        <v>영웅</v>
      </c>
      <c r="P22" s="28" t="n">
        <f aca="false">MIN(1,H22*가정!$B$24+(MATCH(J22,등급!$B$4:$B$8,1)-1)*가정!$B$25)</f>
        <v>0.4</v>
      </c>
      <c r="Q22" s="28" t="n">
        <f aca="false">MIN(1,H22*가정!$B$24+N22*가정!$B$25+가정!$B$26)</f>
        <v>0.62</v>
      </c>
      <c r="R22" s="29" t="n">
        <f aca="false">장비!$F$5*(1-Q22*가정!$B$14)*가정!$B$15</f>
        <v>0.19044</v>
      </c>
      <c r="S22" s="29" t="n">
        <f aca="false">장비!$F$9*(1-Q22*가정!$B$14)*가정!$B$15</f>
        <v>0.325335</v>
      </c>
      <c r="T22" s="14" t="n">
        <f aca="false">MATCH(G22,등급!$B$4:$B$8,1)-1</f>
        <v>2</v>
      </c>
    </row>
    <row r="23" customFormat="false" ht="15" hidden="false" customHeight="false" outlineLevel="0" collapsed="false">
      <c r="A23" s="4" t="s">
        <v>250</v>
      </c>
      <c r="B23" s="11" t="s">
        <v>251</v>
      </c>
      <c r="C23" s="11" t="s">
        <v>223</v>
      </c>
      <c r="D23" s="4"/>
      <c r="E23" s="9" t="n">
        <v>30</v>
      </c>
      <c r="F23" s="9" t="n">
        <v>90</v>
      </c>
      <c r="G23" s="12" t="n">
        <v>900</v>
      </c>
      <c r="H23" s="22" t="n">
        <v>0.65</v>
      </c>
      <c r="I23" s="27" t="n">
        <f aca="false">(E23+F23)/2</f>
        <v>60</v>
      </c>
      <c r="J23" s="20" t="n">
        <f aca="false">MAX(1,ROUND(G23*(E23/I23)^2,0))</f>
        <v>225</v>
      </c>
      <c r="K23" s="20" t="n">
        <f aca="false">MAX(1,ROUND(G23*(F23/I23)^2,0))</f>
        <v>2025</v>
      </c>
      <c r="L23" s="20" t="n">
        <f aca="false">G23*(E23^2+2*E23*(F23-E23)/(1+가정!$B$5)+(F23-E23)^2/(1+2*가정!$B$5))/I23^2</f>
        <v>742.080745341615</v>
      </c>
      <c r="M23" s="4" t="str">
        <f aca="false">INDEX(등급!$A$4:$A$8,MATCH(J23,등급!$B$4:$B$8,1))</f>
        <v>희귀</v>
      </c>
      <c r="N23" s="14" t="n">
        <f aca="false">MATCH(K23,등급!$B$4:$B$8,1)-1</f>
        <v>3</v>
      </c>
      <c r="O23" s="4" t="str">
        <f aca="false">INDEX(등급!$A$4:$A$8,N23+1)</f>
        <v>영웅</v>
      </c>
      <c r="P23" s="28" t="n">
        <f aca="false">MIN(1,H23*가정!$B$24+(MATCH(J23,등급!$B$4:$B$8,1)-1)*가정!$B$25)</f>
        <v>0.555</v>
      </c>
      <c r="Q23" s="28" t="n">
        <f aca="false">MIN(1,H23*가정!$B$24+N23*가정!$B$25+가정!$B$26)</f>
        <v>0.725</v>
      </c>
      <c r="R23" s="29" t="n">
        <f aca="false">장비!$F$5*(1-Q23*가정!$B$14)*가정!$B$15</f>
        <v>0.17595</v>
      </c>
      <c r="S23" s="29" t="n">
        <f aca="false">장비!$F$9*(1-Q23*가정!$B$14)*가정!$B$15</f>
        <v>0.30058125</v>
      </c>
      <c r="T23" s="14" t="n">
        <f aca="false">MATCH(G23,등급!$B$4:$B$8,1)-1</f>
        <v>3</v>
      </c>
    </row>
    <row r="24" customFormat="false" ht="15" hidden="false" customHeight="false" outlineLevel="0" collapsed="false">
      <c r="A24" s="4" t="s">
        <v>252</v>
      </c>
      <c r="B24" s="11" t="s">
        <v>253</v>
      </c>
      <c r="C24" s="11" t="s">
        <v>223</v>
      </c>
      <c r="D24" s="4"/>
      <c r="E24" s="9" t="n">
        <v>50</v>
      </c>
      <c r="F24" s="9" t="n">
        <v>110</v>
      </c>
      <c r="G24" s="12" t="n">
        <v>1400</v>
      </c>
      <c r="H24" s="22" t="n">
        <v>0.75</v>
      </c>
      <c r="I24" s="27" t="n">
        <f aca="false">(E24+F24)/2</f>
        <v>80</v>
      </c>
      <c r="J24" s="20" t="n">
        <f aca="false">MAX(1,ROUND(G24*(E24/I24)^2,0))</f>
        <v>547</v>
      </c>
      <c r="K24" s="20" t="n">
        <f aca="false">MAX(1,ROUND(G24*(F24/I24)^2,0))</f>
        <v>2647</v>
      </c>
      <c r="L24" s="20" t="n">
        <f aca="false">G24*(E24^2+2*E24*(F24-E24)/(1+가정!$B$5)+(F24-E24)^2/(1+2*가정!$B$5))/I24^2</f>
        <v>1186.82065217391</v>
      </c>
      <c r="M24" s="4" t="str">
        <f aca="false">INDEX(등급!$A$4:$A$8,MATCH(J24,등급!$B$4:$B$8,1))</f>
        <v>희귀</v>
      </c>
      <c r="N24" s="14" t="n">
        <f aca="false">MATCH(K24,등급!$B$4:$B$8,1)-1</f>
        <v>4</v>
      </c>
      <c r="O24" s="4" t="str">
        <f aca="false">INDEX(등급!$A$4:$A$8,N24+1)</f>
        <v>전설</v>
      </c>
      <c r="P24" s="28" t="n">
        <f aca="false">MIN(1,H24*가정!$B$24+(MATCH(J24,등급!$B$4:$B$8,1)-1)*가정!$B$25)</f>
        <v>0.625</v>
      </c>
      <c r="Q24" s="28" t="n">
        <f aca="false">MIN(1,H24*가정!$B$24+N24*가정!$B$25+가정!$B$26)</f>
        <v>0.845</v>
      </c>
      <c r="R24" s="29" t="n">
        <f aca="false">장비!$F$5*(1-Q24*가정!$B$14)*가정!$B$15</f>
        <v>0.15939</v>
      </c>
      <c r="S24" s="29" t="n">
        <f aca="false">장비!$F$9*(1-Q24*가정!$B$14)*가정!$B$15</f>
        <v>0.27229125</v>
      </c>
      <c r="T24" s="14" t="n">
        <f aca="false">MATCH(G24,등급!$B$4:$B$8,1)-1</f>
        <v>3</v>
      </c>
    </row>
    <row r="25" customFormat="false" ht="15" hidden="false" customHeight="false" outlineLevel="0" collapsed="false">
      <c r="A25" s="4" t="s">
        <v>254</v>
      </c>
      <c r="B25" s="11" t="s">
        <v>255</v>
      </c>
      <c r="C25" s="11" t="s">
        <v>223</v>
      </c>
      <c r="D25" s="4"/>
      <c r="E25" s="9" t="n">
        <v>60</v>
      </c>
      <c r="F25" s="9" t="n">
        <v>140</v>
      </c>
      <c r="G25" s="12" t="n">
        <v>2200</v>
      </c>
      <c r="H25" s="22" t="n">
        <v>0.85</v>
      </c>
      <c r="I25" s="27" t="n">
        <f aca="false">(E25+F25)/2</f>
        <v>100</v>
      </c>
      <c r="J25" s="20" t="n">
        <f aca="false">MAX(1,ROUND(G25*(E25/I25)^2,0))</f>
        <v>792</v>
      </c>
      <c r="K25" s="20" t="n">
        <f aca="false">MAX(1,ROUND(G25*(F25/I25)^2,0))</f>
        <v>4312</v>
      </c>
      <c r="L25" s="20" t="n">
        <f aca="false">G25*(E25^2+2*E25*(F25-E25)/(1+가정!$B$5)+(F25-E25)^2/(1+2*가정!$B$5))/I25^2</f>
        <v>1852.37267080745</v>
      </c>
      <c r="M25" s="4" t="str">
        <f aca="false">INDEX(등급!$A$4:$A$8,MATCH(J25,등급!$B$4:$B$8,1))</f>
        <v>영웅</v>
      </c>
      <c r="N25" s="14" t="n">
        <f aca="false">MATCH(K25,등급!$B$4:$B$8,1)-1</f>
        <v>4</v>
      </c>
      <c r="O25" s="4" t="str">
        <f aca="false">INDEX(등급!$A$4:$A$8,N25+1)</f>
        <v>전설</v>
      </c>
      <c r="P25" s="28" t="n">
        <f aca="false">MIN(1,H25*가정!$B$24+(MATCH(J25,등급!$B$4:$B$8,1)-1)*가정!$B$25)</f>
        <v>0.745</v>
      </c>
      <c r="Q25" s="28" t="n">
        <f aca="false">MIN(1,H25*가정!$B$24+N25*가정!$B$25+가정!$B$26)</f>
        <v>0.915</v>
      </c>
      <c r="R25" s="29" t="n">
        <f aca="false">장비!$F$5*(1-Q25*가정!$B$14)*가정!$B$15</f>
        <v>0.14973</v>
      </c>
      <c r="S25" s="29" t="n">
        <f aca="false">장비!$F$9*(1-Q25*가정!$B$14)*가정!$B$15</f>
        <v>0.25578875</v>
      </c>
      <c r="T25" s="14" t="n">
        <f aca="false">MATCH(G25,등급!$B$4:$B$8,1)-1</f>
        <v>3</v>
      </c>
    </row>
    <row r="26" customFormat="false" ht="15" hidden="false" customHeight="false" outlineLevel="0" collapsed="false">
      <c r="A26" s="4" t="s">
        <v>256</v>
      </c>
      <c r="B26" s="11" t="s">
        <v>257</v>
      </c>
      <c r="C26" s="11" t="s">
        <v>223</v>
      </c>
      <c r="D26" s="4"/>
      <c r="E26" s="9" t="n">
        <v>100</v>
      </c>
      <c r="F26" s="9" t="n">
        <v>280</v>
      </c>
      <c r="G26" s="12" t="n">
        <v>9000</v>
      </c>
      <c r="H26" s="22" t="n">
        <v>0.97</v>
      </c>
      <c r="I26" s="27" t="n">
        <f aca="false">(E26+F26)/2</f>
        <v>190</v>
      </c>
      <c r="J26" s="20" t="n">
        <f aca="false">MAX(1,ROUND(G26*(E26/I26)^2,0))</f>
        <v>2493</v>
      </c>
      <c r="K26" s="20" t="n">
        <f aca="false">MAX(1,ROUND(G26*(F26/I26)^2,0))</f>
        <v>19546</v>
      </c>
      <c r="L26" s="20" t="n">
        <f aca="false">G26*(E26^2+2*E26*(F26-E26)/(1+가정!$B$5)+(F26-E26)^2/(1+2*가정!$B$5))/I26^2</f>
        <v>7454.44847817484</v>
      </c>
      <c r="M26" s="4" t="str">
        <f aca="false">INDEX(등급!$A$4:$A$8,MATCH(J26,등급!$B$4:$B$8,1))</f>
        <v>영웅</v>
      </c>
      <c r="N26" s="14" t="n">
        <f aca="false">MATCH(K26,등급!$B$4:$B$8,1)-1</f>
        <v>4</v>
      </c>
      <c r="O26" s="4" t="str">
        <f aca="false">INDEX(등급!$A$4:$A$8,N26+1)</f>
        <v>전설</v>
      </c>
      <c r="P26" s="28" t="n">
        <f aca="false">MIN(1,H26*가정!$B$24+(MATCH(J26,등급!$B$4:$B$8,1)-1)*가정!$B$25)</f>
        <v>0.829</v>
      </c>
      <c r="Q26" s="28" t="n">
        <f aca="false">MIN(1,H26*가정!$B$24+N26*가정!$B$25+가정!$B$26)</f>
        <v>0.999</v>
      </c>
      <c r="R26" s="29" t="n">
        <f aca="false">장비!$F$5*(1-Q26*가정!$B$14)*가정!$B$15</f>
        <v>0.138138</v>
      </c>
      <c r="S26" s="29" t="n">
        <f aca="false">장비!$F$9*(1-Q26*가정!$B$14)*가정!$B$15</f>
        <v>0.23598575</v>
      </c>
      <c r="T26" s="14" t="n">
        <f aca="false">MATCH(G26,등급!$B$4:$B$8,1)-1</f>
        <v>4</v>
      </c>
    </row>
    <row r="27" customFormat="false" ht="15" hidden="false" customHeight="false" outlineLevel="0" collapsed="false">
      <c r="A27" s="4" t="s">
        <v>258</v>
      </c>
      <c r="B27" s="11" t="s">
        <v>259</v>
      </c>
      <c r="C27" s="11" t="s">
        <v>214</v>
      </c>
      <c r="D27" s="4"/>
      <c r="E27" s="9" t="n">
        <v>5</v>
      </c>
      <c r="F27" s="9" t="n">
        <v>12</v>
      </c>
      <c r="G27" s="12" t="n">
        <v>8</v>
      </c>
      <c r="H27" s="22" t="n">
        <v>0.08</v>
      </c>
      <c r="I27" s="27" t="n">
        <f aca="false">(E27+F27)/2</f>
        <v>8.5</v>
      </c>
      <c r="J27" s="20" t="n">
        <f aca="false">MAX(1,ROUND(G27*(E27/I27)^2,0))</f>
        <v>3</v>
      </c>
      <c r="K27" s="20" t="n">
        <f aca="false">MAX(1,ROUND(G27*(F27/I27)^2,0))</f>
        <v>16</v>
      </c>
      <c r="L27" s="20" t="n">
        <f aca="false">G27*(E27^2+2*E27*(F27-E27)/(1+가정!$B$5)+(F27-E27)^2/(1+2*가정!$B$5))/I27^2</f>
        <v>6.71581164435083</v>
      </c>
      <c r="M27" s="4" t="str">
        <f aca="false">INDEX(등급!$A$4:$A$8,MATCH(J27,등급!$B$4:$B$8,1))</f>
        <v>일반</v>
      </c>
      <c r="N27" s="14" t="n">
        <f aca="false">MATCH(K27,등급!$B$4:$B$8,1)-1</f>
        <v>0</v>
      </c>
      <c r="O27" s="4" t="str">
        <f aca="false">INDEX(등급!$A$4:$A$8,N27+1)</f>
        <v>일반</v>
      </c>
      <c r="P27" s="28" t="n">
        <f aca="false">MIN(1,H27*가정!$B$24+(MATCH(J27,등급!$B$4:$B$8,1)-1)*가정!$B$25)</f>
        <v>0.056</v>
      </c>
      <c r="Q27" s="28" t="n">
        <f aca="false">MIN(1,H27*가정!$B$24+N27*가정!$B$25+가정!$B$26)</f>
        <v>0.176</v>
      </c>
      <c r="R27" s="29" t="n">
        <f aca="false">장비!$F$5*(1-Q27*가정!$B$14)*가정!$B$15</f>
        <v>0.251712</v>
      </c>
      <c r="S27" s="29" t="n">
        <f aca="false">장비!$F$9*(1-Q27*가정!$B$14)*가정!$B$15</f>
        <v>0.430008</v>
      </c>
      <c r="T27" s="14" t="n">
        <f aca="false">MATCH(G27,등급!$B$4:$B$8,1)-1</f>
        <v>0</v>
      </c>
    </row>
    <row r="28" customFormat="false" ht="15" hidden="false" customHeight="false" outlineLevel="0" collapsed="false">
      <c r="A28" s="4" t="s">
        <v>260</v>
      </c>
      <c r="B28" s="11" t="s">
        <v>261</v>
      </c>
      <c r="C28" s="11" t="s">
        <v>214</v>
      </c>
      <c r="D28" s="4"/>
      <c r="E28" s="9" t="n">
        <v>8</v>
      </c>
      <c r="F28" s="9" t="n">
        <v>18</v>
      </c>
      <c r="G28" s="12" t="n">
        <v>12</v>
      </c>
      <c r="H28" s="22" t="n">
        <v>0.12</v>
      </c>
      <c r="I28" s="27" t="n">
        <f aca="false">(E28+F28)/2</f>
        <v>13</v>
      </c>
      <c r="J28" s="20" t="n">
        <f aca="false">MAX(1,ROUND(G28*(E28/I28)^2,0))</f>
        <v>5</v>
      </c>
      <c r="K28" s="20" t="n">
        <f aca="false">MAX(1,ROUND(G28*(F28/I28)^2,0))</f>
        <v>23</v>
      </c>
      <c r="L28" s="20" t="n">
        <f aca="false">G28*(E28^2+2*E28*(F28-E28)/(1+가정!$B$5)+(F28-E28)^2/(1+2*가정!$B$5))/I28^2</f>
        <v>10.1454665735602</v>
      </c>
      <c r="M28" s="4" t="str">
        <f aca="false">INDEX(등급!$A$4:$A$8,MATCH(J28,등급!$B$4:$B$8,1))</f>
        <v>일반</v>
      </c>
      <c r="N28" s="14" t="n">
        <f aca="false">MATCH(K28,등급!$B$4:$B$8,1)-1</f>
        <v>0</v>
      </c>
      <c r="O28" s="4" t="str">
        <f aca="false">INDEX(등급!$A$4:$A$8,N28+1)</f>
        <v>일반</v>
      </c>
      <c r="P28" s="28" t="n">
        <f aca="false">MIN(1,H28*가정!$B$24+(MATCH(J28,등급!$B$4:$B$8,1)-1)*가정!$B$25)</f>
        <v>0.084</v>
      </c>
      <c r="Q28" s="28" t="n">
        <f aca="false">MIN(1,H28*가정!$B$24+N28*가정!$B$25+가정!$B$26)</f>
        <v>0.204</v>
      </c>
      <c r="R28" s="29" t="n">
        <f aca="false">장비!$F$5*(1-Q28*가정!$B$14)*가정!$B$15</f>
        <v>0.247848</v>
      </c>
      <c r="S28" s="29" t="n">
        <f aca="false">장비!$F$9*(1-Q28*가정!$B$14)*가정!$B$15</f>
        <v>0.423407</v>
      </c>
      <c r="T28" s="14" t="n">
        <f aca="false">MATCH(G28,등급!$B$4:$B$8,1)-1</f>
        <v>0</v>
      </c>
    </row>
    <row r="29" customFormat="false" ht="15" hidden="false" customHeight="false" outlineLevel="0" collapsed="false">
      <c r="A29" s="4" t="s">
        <v>262</v>
      </c>
      <c r="B29" s="11" t="s">
        <v>263</v>
      </c>
      <c r="C29" s="11" t="s">
        <v>214</v>
      </c>
      <c r="D29" s="4"/>
      <c r="E29" s="9" t="n">
        <v>10</v>
      </c>
      <c r="F29" s="9" t="n">
        <v>25</v>
      </c>
      <c r="G29" s="12" t="n">
        <v>25</v>
      </c>
      <c r="H29" s="22" t="n">
        <v>0.18</v>
      </c>
      <c r="I29" s="27" t="n">
        <f aca="false">(E29+F29)/2</f>
        <v>17.5</v>
      </c>
      <c r="J29" s="20" t="n">
        <f aca="false">MAX(1,ROUND(G29*(E29/I29)^2,0))</f>
        <v>8</v>
      </c>
      <c r="K29" s="20" t="n">
        <f aca="false">MAX(1,ROUND(G29*(F29/I29)^2,0))</f>
        <v>51</v>
      </c>
      <c r="L29" s="20" t="n">
        <f aca="false">G29*(E29^2+2*E29*(F29-E29)/(1+가정!$B$5)+(F29-E29)^2/(1+2*가정!$B$5))/I29^2</f>
        <v>20.9025224996831</v>
      </c>
      <c r="M29" s="4" t="str">
        <f aca="false">INDEX(등급!$A$4:$A$8,MATCH(J29,등급!$B$4:$B$8,1))</f>
        <v>일반</v>
      </c>
      <c r="N29" s="14" t="n">
        <f aca="false">MATCH(K29,등급!$B$4:$B$8,1)-1</f>
        <v>0</v>
      </c>
      <c r="O29" s="4" t="str">
        <f aca="false">INDEX(등급!$A$4:$A$8,N29+1)</f>
        <v>일반</v>
      </c>
      <c r="P29" s="28" t="n">
        <f aca="false">MIN(1,H29*가정!$B$24+(MATCH(J29,등급!$B$4:$B$8,1)-1)*가정!$B$25)</f>
        <v>0.126</v>
      </c>
      <c r="Q29" s="28" t="n">
        <f aca="false">MIN(1,H29*가정!$B$24+N29*가정!$B$25+가정!$B$26)</f>
        <v>0.246</v>
      </c>
      <c r="R29" s="29" t="n">
        <f aca="false">장비!$F$5*(1-Q29*가정!$B$14)*가정!$B$15</f>
        <v>0.242052</v>
      </c>
      <c r="S29" s="29" t="n">
        <f aca="false">장비!$F$9*(1-Q29*가정!$B$14)*가정!$B$15</f>
        <v>0.4135055</v>
      </c>
      <c r="T29" s="14" t="n">
        <f aca="false">MATCH(G29,등급!$B$4:$B$8,1)-1</f>
        <v>0</v>
      </c>
    </row>
    <row r="30" customFormat="false" ht="15" hidden="false" customHeight="false" outlineLevel="0" collapsed="false">
      <c r="A30" s="4" t="s">
        <v>264</v>
      </c>
      <c r="B30" s="11" t="s">
        <v>265</v>
      </c>
      <c r="C30" s="11" t="s">
        <v>223</v>
      </c>
      <c r="D30" s="4"/>
      <c r="E30" s="9" t="n">
        <v>10</v>
      </c>
      <c r="F30" s="9" t="n">
        <v>25</v>
      </c>
      <c r="G30" s="12" t="n">
        <v>70</v>
      </c>
      <c r="H30" s="22" t="n">
        <v>0.35</v>
      </c>
      <c r="I30" s="27" t="n">
        <f aca="false">(E30+F30)/2</f>
        <v>17.5</v>
      </c>
      <c r="J30" s="20" t="n">
        <f aca="false">MAX(1,ROUND(G30*(E30/I30)^2,0))</f>
        <v>23</v>
      </c>
      <c r="K30" s="20" t="n">
        <f aca="false">MAX(1,ROUND(G30*(F30/I30)^2,0))</f>
        <v>143</v>
      </c>
      <c r="L30" s="20" t="n">
        <f aca="false">G30*(E30^2+2*E30*(F30-E30)/(1+가정!$B$5)+(F30-E30)^2/(1+2*가정!$B$5))/I30^2</f>
        <v>58.5270629991127</v>
      </c>
      <c r="M30" s="4" t="str">
        <f aca="false">INDEX(등급!$A$4:$A$8,MATCH(J30,등급!$B$4:$B$8,1))</f>
        <v>일반</v>
      </c>
      <c r="N30" s="14" t="n">
        <f aca="false">MATCH(K30,등급!$B$4:$B$8,1)-1</f>
        <v>1</v>
      </c>
      <c r="O30" s="4" t="str">
        <f aca="false">INDEX(등급!$A$4:$A$8,N30+1)</f>
        <v>고급</v>
      </c>
      <c r="P30" s="28" t="n">
        <f aca="false">MIN(1,H30*가정!$B$24+(MATCH(J30,등급!$B$4:$B$8,1)-1)*가정!$B$25)</f>
        <v>0.245</v>
      </c>
      <c r="Q30" s="28" t="n">
        <f aca="false">MIN(1,H30*가정!$B$24+N30*가정!$B$25+가정!$B$26)</f>
        <v>0.415</v>
      </c>
      <c r="R30" s="29" t="n">
        <f aca="false">장비!$F$5*(1-Q30*가정!$B$14)*가정!$B$15</f>
        <v>0.21873</v>
      </c>
      <c r="S30" s="29" t="n">
        <f aca="false">장비!$F$9*(1-Q30*가정!$B$14)*가정!$B$15</f>
        <v>0.37366375</v>
      </c>
      <c r="T30" s="14" t="n">
        <f aca="false">MATCH(G30,등급!$B$4:$B$8,1)-1</f>
        <v>1</v>
      </c>
    </row>
    <row r="31" customFormat="false" ht="15" hidden="false" customHeight="false" outlineLevel="0" collapsed="false">
      <c r="A31" s="4" t="s">
        <v>266</v>
      </c>
      <c r="B31" s="11" t="s">
        <v>267</v>
      </c>
      <c r="C31" s="11" t="s">
        <v>223</v>
      </c>
      <c r="D31" s="4"/>
      <c r="E31" s="9" t="n">
        <v>12</v>
      </c>
      <c r="F31" s="9" t="n">
        <v>28</v>
      </c>
      <c r="G31" s="12" t="n">
        <v>150</v>
      </c>
      <c r="H31" s="22" t="n">
        <v>0.4</v>
      </c>
      <c r="I31" s="27" t="n">
        <f aca="false">(E31+F31)/2</f>
        <v>20</v>
      </c>
      <c r="J31" s="20" t="n">
        <f aca="false">MAX(1,ROUND(G31*(E31/I31)^2,0))</f>
        <v>54</v>
      </c>
      <c r="K31" s="20" t="n">
        <f aca="false">MAX(1,ROUND(G31*(F31/I31)^2,0))</f>
        <v>294</v>
      </c>
      <c r="L31" s="20" t="n">
        <f aca="false">G31*(E31^2+2*E31*(F31-E31)/(1+가정!$B$5)+(F31-E31)^2/(1+2*가정!$B$5))/I31^2</f>
        <v>126.298136645963</v>
      </c>
      <c r="M31" s="4" t="str">
        <f aca="false">INDEX(등급!$A$4:$A$8,MATCH(J31,등급!$B$4:$B$8,1))</f>
        <v>일반</v>
      </c>
      <c r="N31" s="14" t="n">
        <f aca="false">MATCH(K31,등급!$B$4:$B$8,1)-1</f>
        <v>2</v>
      </c>
      <c r="O31" s="4" t="str">
        <f aca="false">INDEX(등급!$A$4:$A$8,N31+1)</f>
        <v>희귀</v>
      </c>
      <c r="P31" s="28" t="n">
        <f aca="false">MIN(1,H31*가정!$B$24+(MATCH(J31,등급!$B$4:$B$8,1)-1)*가정!$B$25)</f>
        <v>0.28</v>
      </c>
      <c r="Q31" s="28" t="n">
        <f aca="false">MIN(1,H31*가정!$B$24+N31*가정!$B$25+가정!$B$26)</f>
        <v>0.5</v>
      </c>
      <c r="R31" s="29" t="n">
        <f aca="false">장비!$F$5*(1-Q31*가정!$B$14)*가정!$B$15</f>
        <v>0.207</v>
      </c>
      <c r="S31" s="29" t="n">
        <f aca="false">장비!$F$9*(1-Q31*가정!$B$14)*가정!$B$15</f>
        <v>0.353625</v>
      </c>
      <c r="T31" s="14" t="n">
        <f aca="false">MATCH(G31,등급!$B$4:$B$8,1)-1</f>
        <v>1</v>
      </c>
    </row>
    <row r="32" customFormat="false" ht="15" hidden="false" customHeight="false" outlineLevel="0" collapsed="false">
      <c r="A32" s="4" t="s">
        <v>268</v>
      </c>
      <c r="B32" s="11" t="s">
        <v>269</v>
      </c>
      <c r="C32" s="11" t="s">
        <v>214</v>
      </c>
      <c r="D32" s="4"/>
      <c r="E32" s="9" t="n">
        <v>15</v>
      </c>
      <c r="F32" s="9" t="n">
        <v>30</v>
      </c>
      <c r="G32" s="12" t="n">
        <v>120</v>
      </c>
      <c r="H32" s="22" t="n">
        <v>0.35</v>
      </c>
      <c r="I32" s="27" t="n">
        <f aca="false">(E32+F32)/2</f>
        <v>22.5</v>
      </c>
      <c r="J32" s="20" t="n">
        <f aca="false">MAX(1,ROUND(G32*(E32/I32)^2,0))</f>
        <v>53</v>
      </c>
      <c r="K32" s="20" t="n">
        <f aca="false">MAX(1,ROUND(G32*(F32/I32)^2,0))</f>
        <v>213</v>
      </c>
      <c r="L32" s="20" t="n">
        <f aca="false">G32*(E32^2+2*E32*(F32-E32)/(1+가정!$B$5)+(F32-E32)^2/(1+2*가정!$B$5))/I32^2</f>
        <v>103.022774327122</v>
      </c>
      <c r="M32" s="4" t="str">
        <f aca="false">INDEX(등급!$A$4:$A$8,MATCH(J32,등급!$B$4:$B$8,1))</f>
        <v>일반</v>
      </c>
      <c r="N32" s="14" t="n">
        <f aca="false">MATCH(K32,등급!$B$4:$B$8,1)-1</f>
        <v>2</v>
      </c>
      <c r="O32" s="4" t="str">
        <f aca="false">INDEX(등급!$A$4:$A$8,N32+1)</f>
        <v>희귀</v>
      </c>
      <c r="P32" s="28" t="n">
        <f aca="false">MIN(1,H32*가정!$B$24+(MATCH(J32,등급!$B$4:$B$8,1)-1)*가정!$B$25)</f>
        <v>0.245</v>
      </c>
      <c r="Q32" s="28" t="n">
        <f aca="false">MIN(1,H32*가정!$B$24+N32*가정!$B$25+가정!$B$26)</f>
        <v>0.465</v>
      </c>
      <c r="R32" s="29" t="n">
        <f aca="false">장비!$F$5*(1-Q32*가정!$B$14)*가정!$B$15</f>
        <v>0.21183</v>
      </c>
      <c r="S32" s="29" t="n">
        <f aca="false">장비!$F$9*(1-Q32*가정!$B$14)*가정!$B$15</f>
        <v>0.36187625</v>
      </c>
      <c r="T32" s="14" t="n">
        <f aca="false">MATCH(G32,등급!$B$4:$B$8,1)-1</f>
        <v>1</v>
      </c>
    </row>
    <row r="33" customFormat="false" ht="15" hidden="false" customHeight="false" outlineLevel="0" collapsed="false">
      <c r="A33" s="4" t="s">
        <v>270</v>
      </c>
      <c r="B33" s="11" t="s">
        <v>271</v>
      </c>
      <c r="C33" s="11" t="s">
        <v>214</v>
      </c>
      <c r="D33" s="4"/>
      <c r="E33" s="9" t="n">
        <v>20</v>
      </c>
      <c r="F33" s="9" t="n">
        <v>45</v>
      </c>
      <c r="G33" s="12" t="n">
        <v>180</v>
      </c>
      <c r="H33" s="22" t="n">
        <v>0.45</v>
      </c>
      <c r="I33" s="27" t="n">
        <f aca="false">(E33+F33)/2</f>
        <v>32.5</v>
      </c>
      <c r="J33" s="20" t="n">
        <f aca="false">MAX(1,ROUND(G33*(E33/I33)^2,0))</f>
        <v>68</v>
      </c>
      <c r="K33" s="20" t="n">
        <f aca="false">MAX(1,ROUND(G33*(F33/I33)^2,0))</f>
        <v>345</v>
      </c>
      <c r="L33" s="20" t="n">
        <f aca="false">G33*(E33^2+2*E33*(F33-E33)/(1+가정!$B$5)+(F33-E33)^2/(1+2*가정!$B$5))/I33^2</f>
        <v>152.181998603403</v>
      </c>
      <c r="M33" s="4" t="str">
        <f aca="false">INDEX(등급!$A$4:$A$8,MATCH(J33,등급!$B$4:$B$8,1))</f>
        <v>고급</v>
      </c>
      <c r="N33" s="14" t="n">
        <f aca="false">MATCH(K33,등급!$B$4:$B$8,1)-1</f>
        <v>2</v>
      </c>
      <c r="O33" s="4" t="str">
        <f aca="false">INDEX(등급!$A$4:$A$8,N33+1)</f>
        <v>희귀</v>
      </c>
      <c r="P33" s="28" t="n">
        <f aca="false">MIN(1,H33*가정!$B$24+(MATCH(J33,등급!$B$4:$B$8,1)-1)*가정!$B$25)</f>
        <v>0.365</v>
      </c>
      <c r="Q33" s="28" t="n">
        <f aca="false">MIN(1,H33*가정!$B$24+N33*가정!$B$25+가정!$B$26)</f>
        <v>0.535</v>
      </c>
      <c r="R33" s="29" t="n">
        <f aca="false">장비!$F$5*(1-Q33*가정!$B$14)*가정!$B$15</f>
        <v>0.20217</v>
      </c>
      <c r="S33" s="29" t="n">
        <f aca="false">장비!$F$9*(1-Q33*가정!$B$14)*가정!$B$15</f>
        <v>0.34537375</v>
      </c>
      <c r="T33" s="14" t="n">
        <f aca="false">MATCH(G33,등급!$B$4:$B$8,1)-1</f>
        <v>1</v>
      </c>
    </row>
    <row r="34" customFormat="false" ht="15" hidden="false" customHeight="false" outlineLevel="0" collapsed="false">
      <c r="A34" s="4" t="s">
        <v>272</v>
      </c>
      <c r="B34" s="11" t="s">
        <v>273</v>
      </c>
      <c r="C34" s="11" t="s">
        <v>223</v>
      </c>
      <c r="D34" s="4"/>
      <c r="E34" s="9" t="n">
        <v>40</v>
      </c>
      <c r="F34" s="9" t="n">
        <v>90</v>
      </c>
      <c r="G34" s="12" t="n">
        <v>1800</v>
      </c>
      <c r="H34" s="22" t="n">
        <v>0.85</v>
      </c>
      <c r="I34" s="27" t="n">
        <f aca="false">(E34+F34)/2</f>
        <v>65</v>
      </c>
      <c r="J34" s="20" t="n">
        <f aca="false">MAX(1,ROUND(G34*(E34/I34)^2,0))</f>
        <v>682</v>
      </c>
      <c r="K34" s="20" t="n">
        <f aca="false">MAX(1,ROUND(G34*(F34/I34)^2,0))</f>
        <v>3451</v>
      </c>
      <c r="L34" s="20" t="n">
        <f aca="false">G34*(E34^2+2*E34*(F34-E34)/(1+가정!$B$5)+(F34-E34)^2/(1+2*가정!$B$5))/I34^2</f>
        <v>1521.81998603403</v>
      </c>
      <c r="M34" s="4" t="str">
        <f aca="false">INDEX(등급!$A$4:$A$8,MATCH(J34,등급!$B$4:$B$8,1))</f>
        <v>희귀</v>
      </c>
      <c r="N34" s="14" t="n">
        <f aca="false">MATCH(K34,등급!$B$4:$B$8,1)-1</f>
        <v>4</v>
      </c>
      <c r="O34" s="4" t="str">
        <f aca="false">INDEX(등급!$A$4:$A$8,N34+1)</f>
        <v>전설</v>
      </c>
      <c r="P34" s="28" t="n">
        <f aca="false">MIN(1,H34*가정!$B$24+(MATCH(J34,등급!$B$4:$B$8,1)-1)*가정!$B$25)</f>
        <v>0.695</v>
      </c>
      <c r="Q34" s="28" t="n">
        <f aca="false">MIN(1,H34*가정!$B$24+N34*가정!$B$25+가정!$B$26)</f>
        <v>0.915</v>
      </c>
      <c r="R34" s="29" t="n">
        <f aca="false">장비!$F$5*(1-Q34*가정!$B$14)*가정!$B$15</f>
        <v>0.14973</v>
      </c>
      <c r="S34" s="29" t="n">
        <f aca="false">장비!$F$9*(1-Q34*가정!$B$14)*가정!$B$15</f>
        <v>0.25578875</v>
      </c>
      <c r="T34" s="14" t="n">
        <f aca="false">MATCH(G34,등급!$B$4:$B$8,1)-1</f>
        <v>3</v>
      </c>
    </row>
    <row r="35" customFormat="false" ht="15" hidden="false" customHeight="false" outlineLevel="0" collapsed="false">
      <c r="A35" s="4" t="s">
        <v>274</v>
      </c>
      <c r="B35" s="11" t="s">
        <v>275</v>
      </c>
      <c r="C35" s="11" t="s">
        <v>214</v>
      </c>
      <c r="D35" s="4"/>
      <c r="E35" s="9" t="n">
        <v>15</v>
      </c>
      <c r="F35" s="9" t="n">
        <v>35</v>
      </c>
      <c r="G35" s="12" t="n">
        <v>300</v>
      </c>
      <c r="H35" s="22" t="n">
        <v>0.5</v>
      </c>
      <c r="I35" s="27" t="n">
        <f aca="false">(E35+F35)/2</f>
        <v>25</v>
      </c>
      <c r="J35" s="20" t="n">
        <f aca="false">MAX(1,ROUND(G35*(E35/I35)^2,0))</f>
        <v>108</v>
      </c>
      <c r="K35" s="20" t="n">
        <f aca="false">MAX(1,ROUND(G35*(F35/I35)^2,0))</f>
        <v>588</v>
      </c>
      <c r="L35" s="20" t="n">
        <f aca="false">G35*(E35^2+2*E35*(F35-E35)/(1+가정!$B$5)+(F35-E35)^2/(1+2*가정!$B$5))/I35^2</f>
        <v>252.596273291925</v>
      </c>
      <c r="M35" s="4" t="str">
        <f aca="false">INDEX(등급!$A$4:$A$8,MATCH(J35,등급!$B$4:$B$8,1))</f>
        <v>고급</v>
      </c>
      <c r="N35" s="14" t="n">
        <f aca="false">MATCH(K35,등급!$B$4:$B$8,1)-1</f>
        <v>2</v>
      </c>
      <c r="O35" s="4" t="str">
        <f aca="false">INDEX(등급!$A$4:$A$8,N35+1)</f>
        <v>희귀</v>
      </c>
      <c r="P35" s="28" t="n">
        <f aca="false">MIN(1,H35*가정!$B$24+(MATCH(J35,등급!$B$4:$B$8,1)-1)*가정!$B$25)</f>
        <v>0.4</v>
      </c>
      <c r="Q35" s="28" t="n">
        <f aca="false">MIN(1,H35*가정!$B$24+N35*가정!$B$25+가정!$B$26)</f>
        <v>0.57</v>
      </c>
      <c r="R35" s="29" t="n">
        <f aca="false">장비!$F$5*(1-Q35*가정!$B$14)*가정!$B$15</f>
        <v>0.19734</v>
      </c>
      <c r="S35" s="29" t="n">
        <f aca="false">장비!$F$9*(1-Q35*가정!$B$14)*가정!$B$15</f>
        <v>0.3371225</v>
      </c>
      <c r="T35" s="14" t="n">
        <f aca="false">MATCH(G35,등급!$B$4:$B$8,1)-1</f>
        <v>2</v>
      </c>
    </row>
    <row r="36" customFormat="false" ht="15" hidden="false" customHeight="false" outlineLevel="0" collapsed="false">
      <c r="A36" s="4" t="s">
        <v>276</v>
      </c>
      <c r="B36" s="11" t="s">
        <v>277</v>
      </c>
      <c r="C36" s="11" t="s">
        <v>214</v>
      </c>
      <c r="D36" s="4"/>
      <c r="E36" s="9" t="n">
        <v>30</v>
      </c>
      <c r="F36" s="9" t="n">
        <v>80</v>
      </c>
      <c r="G36" s="12" t="n">
        <v>700</v>
      </c>
      <c r="H36" s="22" t="n">
        <v>0.55</v>
      </c>
      <c r="I36" s="27" t="n">
        <f aca="false">(E36+F36)/2</f>
        <v>55</v>
      </c>
      <c r="J36" s="20" t="n">
        <f aca="false">MAX(1,ROUND(G36*(E36/I36)^2,0))</f>
        <v>208</v>
      </c>
      <c r="K36" s="20" t="n">
        <f aca="false">MAX(1,ROUND(G36*(F36/I36)^2,0))</f>
        <v>1481</v>
      </c>
      <c r="L36" s="20" t="n">
        <f aca="false">G36*(E36^2+2*E36*(F36-E36)/(1+가정!$B$5)+(F36-E36)^2/(1+2*가정!$B$5))/I36^2</f>
        <v>581.96191160618</v>
      </c>
      <c r="M36" s="4" t="str">
        <f aca="false">INDEX(등급!$A$4:$A$8,MATCH(J36,등급!$B$4:$B$8,1))</f>
        <v>희귀</v>
      </c>
      <c r="N36" s="14" t="n">
        <f aca="false">MATCH(K36,등급!$B$4:$B$8,1)-1</f>
        <v>3</v>
      </c>
      <c r="O36" s="4" t="str">
        <f aca="false">INDEX(등급!$A$4:$A$8,N36+1)</f>
        <v>영웅</v>
      </c>
      <c r="P36" s="28" t="n">
        <f aca="false">MIN(1,H36*가정!$B$24+(MATCH(J36,등급!$B$4:$B$8,1)-1)*가정!$B$25)</f>
        <v>0.485</v>
      </c>
      <c r="Q36" s="28" t="n">
        <f aca="false">MIN(1,H36*가정!$B$24+N36*가정!$B$25+가정!$B$26)</f>
        <v>0.655</v>
      </c>
      <c r="R36" s="29" t="n">
        <f aca="false">장비!$F$5*(1-Q36*가정!$B$14)*가정!$B$15</f>
        <v>0.18561</v>
      </c>
      <c r="S36" s="29" t="n">
        <f aca="false">장비!$F$9*(1-Q36*가정!$B$14)*가정!$B$15</f>
        <v>0.31708375</v>
      </c>
      <c r="T36" s="14" t="n">
        <f aca="false">MATCH(G36,등급!$B$4:$B$8,1)-1</f>
        <v>3</v>
      </c>
    </row>
    <row r="37" customFormat="false" ht="15" hidden="false" customHeight="false" outlineLevel="0" collapsed="false">
      <c r="A37" s="4" t="s">
        <v>278</v>
      </c>
      <c r="B37" s="11" t="s">
        <v>279</v>
      </c>
      <c r="C37" s="11" t="s">
        <v>223</v>
      </c>
      <c r="D37" s="4"/>
      <c r="E37" s="9" t="n">
        <v>30</v>
      </c>
      <c r="F37" s="9" t="n">
        <v>70</v>
      </c>
      <c r="G37" s="12" t="n">
        <v>1500</v>
      </c>
      <c r="H37" s="22" t="n">
        <v>0.7</v>
      </c>
      <c r="I37" s="27" t="n">
        <f aca="false">(E37+F37)/2</f>
        <v>50</v>
      </c>
      <c r="J37" s="20" t="n">
        <f aca="false">MAX(1,ROUND(G37*(E37/I37)^2,0))</f>
        <v>540</v>
      </c>
      <c r="K37" s="20" t="n">
        <f aca="false">MAX(1,ROUND(G37*(F37/I37)^2,0))</f>
        <v>2940</v>
      </c>
      <c r="L37" s="20" t="n">
        <f aca="false">G37*(E37^2+2*E37*(F37-E37)/(1+가정!$B$5)+(F37-E37)^2/(1+2*가정!$B$5))/I37^2</f>
        <v>1262.98136645963</v>
      </c>
      <c r="M37" s="4" t="str">
        <f aca="false">INDEX(등급!$A$4:$A$8,MATCH(J37,등급!$B$4:$B$8,1))</f>
        <v>희귀</v>
      </c>
      <c r="N37" s="14" t="n">
        <f aca="false">MATCH(K37,등급!$B$4:$B$8,1)-1</f>
        <v>4</v>
      </c>
      <c r="O37" s="4" t="str">
        <f aca="false">INDEX(등급!$A$4:$A$8,N37+1)</f>
        <v>전설</v>
      </c>
      <c r="P37" s="28" t="n">
        <f aca="false">MIN(1,H37*가정!$B$24+(MATCH(J37,등급!$B$4:$B$8,1)-1)*가정!$B$25)</f>
        <v>0.59</v>
      </c>
      <c r="Q37" s="28" t="n">
        <f aca="false">MIN(1,H37*가정!$B$24+N37*가정!$B$25+가정!$B$26)</f>
        <v>0.81</v>
      </c>
      <c r="R37" s="29" t="n">
        <f aca="false">장비!$F$5*(1-Q37*가정!$B$14)*가정!$B$15</f>
        <v>0.16422</v>
      </c>
      <c r="S37" s="29" t="n">
        <f aca="false">장비!$F$9*(1-Q37*가정!$B$14)*가정!$B$15</f>
        <v>0.2805425</v>
      </c>
      <c r="T37" s="14" t="n">
        <f aca="false">MATCH(G37,등급!$B$4:$B$8,1)-1</f>
        <v>3</v>
      </c>
    </row>
    <row r="38" customFormat="false" ht="15" hidden="false" customHeight="false" outlineLevel="0" collapsed="false">
      <c r="A38" s="4" t="s">
        <v>280</v>
      </c>
      <c r="B38" s="11" t="s">
        <v>281</v>
      </c>
      <c r="C38" s="11" t="s">
        <v>223</v>
      </c>
      <c r="D38" s="4"/>
      <c r="E38" s="9" t="n">
        <v>60</v>
      </c>
      <c r="F38" s="9" t="n">
        <v>140</v>
      </c>
      <c r="G38" s="12" t="n">
        <v>2600</v>
      </c>
      <c r="H38" s="22" t="n">
        <v>0.8</v>
      </c>
      <c r="I38" s="27" t="n">
        <f aca="false">(E38+F38)/2</f>
        <v>100</v>
      </c>
      <c r="J38" s="20" t="n">
        <f aca="false">MAX(1,ROUND(G38*(E38/I38)^2,0))</f>
        <v>936</v>
      </c>
      <c r="K38" s="20" t="n">
        <f aca="false">MAX(1,ROUND(G38*(F38/I38)^2,0))</f>
        <v>5096</v>
      </c>
      <c r="L38" s="20" t="n">
        <f aca="false">G38*(E38^2+2*E38*(F38-E38)/(1+가정!$B$5)+(F38-E38)^2/(1+2*가정!$B$5))/I38^2</f>
        <v>2189.16770186335</v>
      </c>
      <c r="M38" s="4" t="str">
        <f aca="false">INDEX(등급!$A$4:$A$8,MATCH(J38,등급!$B$4:$B$8,1))</f>
        <v>영웅</v>
      </c>
      <c r="N38" s="14" t="n">
        <f aca="false">MATCH(K38,등급!$B$4:$B$8,1)-1</f>
        <v>4</v>
      </c>
      <c r="O38" s="4" t="str">
        <f aca="false">INDEX(등급!$A$4:$A$8,N38+1)</f>
        <v>전설</v>
      </c>
      <c r="P38" s="28" t="n">
        <f aca="false">MIN(1,H38*가정!$B$24+(MATCH(J38,등급!$B$4:$B$8,1)-1)*가정!$B$25)</f>
        <v>0.71</v>
      </c>
      <c r="Q38" s="28" t="n">
        <f aca="false">MIN(1,H38*가정!$B$24+N38*가정!$B$25+가정!$B$26)</f>
        <v>0.88</v>
      </c>
      <c r="R38" s="29" t="n">
        <f aca="false">장비!$F$5*(1-Q38*가정!$B$14)*가정!$B$15</f>
        <v>0.15456</v>
      </c>
      <c r="S38" s="29" t="n">
        <f aca="false">장비!$F$9*(1-Q38*가정!$B$14)*가정!$B$15</f>
        <v>0.26404</v>
      </c>
      <c r="T38" s="14" t="n">
        <f aca="false">MATCH(G38,등급!$B$4:$B$8,1)-1</f>
        <v>4</v>
      </c>
    </row>
    <row r="39" customFormat="false" ht="15" hidden="false" customHeight="false" outlineLevel="0" collapsed="false">
      <c r="A39" s="4" t="s">
        <v>282</v>
      </c>
      <c r="B39" s="11" t="s">
        <v>283</v>
      </c>
      <c r="C39" s="11" t="s">
        <v>223</v>
      </c>
      <c r="D39" s="4"/>
      <c r="E39" s="9" t="n">
        <v>50</v>
      </c>
      <c r="F39" s="9" t="n">
        <v>100</v>
      </c>
      <c r="G39" s="12" t="n">
        <v>2800</v>
      </c>
      <c r="H39" s="22" t="n">
        <v>0.75</v>
      </c>
      <c r="I39" s="27" t="n">
        <f aca="false">(E39+F39)/2</f>
        <v>75</v>
      </c>
      <c r="J39" s="20" t="n">
        <f aca="false">MAX(1,ROUND(G39*(E39/I39)^2,0))</f>
        <v>1244</v>
      </c>
      <c r="K39" s="20" t="n">
        <f aca="false">MAX(1,ROUND(G39*(F39/I39)^2,0))</f>
        <v>4978</v>
      </c>
      <c r="L39" s="20" t="n">
        <f aca="false">G39*(E39^2+2*E39*(F39-E39)/(1+가정!$B$5)+(F39-E39)^2/(1+2*가정!$B$5))/I39^2</f>
        <v>2403.86473429952</v>
      </c>
      <c r="M39" s="4" t="str">
        <f aca="false">INDEX(등급!$A$4:$A$8,MATCH(J39,등급!$B$4:$B$8,1))</f>
        <v>영웅</v>
      </c>
      <c r="N39" s="14" t="n">
        <f aca="false">MATCH(K39,등급!$B$4:$B$8,1)-1</f>
        <v>4</v>
      </c>
      <c r="O39" s="4" t="str">
        <f aca="false">INDEX(등급!$A$4:$A$8,N39+1)</f>
        <v>전설</v>
      </c>
      <c r="P39" s="28" t="n">
        <f aca="false">MIN(1,H39*가정!$B$24+(MATCH(J39,등급!$B$4:$B$8,1)-1)*가정!$B$25)</f>
        <v>0.675</v>
      </c>
      <c r="Q39" s="28" t="n">
        <f aca="false">MIN(1,H39*가정!$B$24+N39*가정!$B$25+가정!$B$26)</f>
        <v>0.845</v>
      </c>
      <c r="R39" s="29" t="n">
        <f aca="false">장비!$F$5*(1-Q39*가정!$B$14)*가정!$B$15</f>
        <v>0.15939</v>
      </c>
      <c r="S39" s="29" t="n">
        <f aca="false">장비!$F$9*(1-Q39*가정!$B$14)*가정!$B$15</f>
        <v>0.27229125</v>
      </c>
      <c r="T39" s="14" t="n">
        <f aca="false">MATCH(G39,등급!$B$4:$B$8,1)-1</f>
        <v>4</v>
      </c>
    </row>
    <row r="40" customFormat="false" ht="15" hidden="false" customHeight="false" outlineLevel="0" collapsed="false">
      <c r="A40" s="4" t="s">
        <v>284</v>
      </c>
      <c r="B40" s="11" t="s">
        <v>285</v>
      </c>
      <c r="C40" s="11" t="s">
        <v>223</v>
      </c>
      <c r="D40" s="4"/>
      <c r="E40" s="9" t="n">
        <v>150</v>
      </c>
      <c r="F40" s="9" t="n">
        <v>300</v>
      </c>
      <c r="G40" s="12" t="n">
        <v>16000</v>
      </c>
      <c r="H40" s="22" t="n">
        <v>0.99</v>
      </c>
      <c r="I40" s="27" t="n">
        <f aca="false">(E40+F40)/2</f>
        <v>225</v>
      </c>
      <c r="J40" s="20" t="n">
        <f aca="false">MAX(1,ROUND(G40*(E40/I40)^2,0))</f>
        <v>7111</v>
      </c>
      <c r="K40" s="20" t="n">
        <f aca="false">MAX(1,ROUND(G40*(F40/I40)^2,0))</f>
        <v>28444</v>
      </c>
      <c r="L40" s="20" t="n">
        <f aca="false">G40*(E40^2+2*E40*(F40-E40)/(1+가정!$B$5)+(F40-E40)^2/(1+2*가정!$B$5))/I40^2</f>
        <v>13736.369910283</v>
      </c>
      <c r="M40" s="4" t="str">
        <f aca="false">INDEX(등급!$A$4:$A$8,MATCH(J40,등급!$B$4:$B$8,1))</f>
        <v>전설</v>
      </c>
      <c r="N40" s="14" t="n">
        <f aca="false">MATCH(K40,등급!$B$4:$B$8,1)-1</f>
        <v>4</v>
      </c>
      <c r="O40" s="4" t="str">
        <f aca="false">INDEX(등급!$A$4:$A$8,N40+1)</f>
        <v>전설</v>
      </c>
      <c r="P40" s="28" t="n">
        <f aca="false">MIN(1,H40*가정!$B$24+(MATCH(J40,등급!$B$4:$B$8,1)-1)*가정!$B$25)</f>
        <v>0.893</v>
      </c>
      <c r="Q40" s="28" t="n">
        <f aca="false">MIN(1,H40*가정!$B$24+N40*가정!$B$25+가정!$B$26)</f>
        <v>1</v>
      </c>
      <c r="R40" s="29" t="n">
        <f aca="false">장비!$F$5*(1-Q40*가정!$B$14)*가정!$B$15</f>
        <v>0.138</v>
      </c>
      <c r="S40" s="29" t="n">
        <f aca="false">장비!$F$9*(1-Q40*가정!$B$14)*가정!$B$15</f>
        <v>0.23575</v>
      </c>
      <c r="T40" s="14" t="n">
        <f aca="false">MATCH(G40,등급!$B$4:$B$8,1)-1</f>
        <v>4</v>
      </c>
    </row>
    <row r="41" customFormat="false" ht="15" hidden="false" customHeight="false" outlineLevel="0" collapsed="false">
      <c r="A41" s="4" t="s">
        <v>286</v>
      </c>
      <c r="B41" s="11" t="s">
        <v>287</v>
      </c>
      <c r="C41" s="11" t="s">
        <v>214</v>
      </c>
      <c r="D41" s="4"/>
      <c r="E41" s="9" t="n">
        <v>30</v>
      </c>
      <c r="F41" s="9" t="n">
        <v>80</v>
      </c>
      <c r="G41" s="12" t="n">
        <v>1000</v>
      </c>
      <c r="H41" s="22" t="n">
        <v>0.5</v>
      </c>
      <c r="I41" s="27" t="n">
        <f aca="false">(E41+F41)/2</f>
        <v>55</v>
      </c>
      <c r="J41" s="20" t="n">
        <f aca="false">MAX(1,ROUND(G41*(E41/I41)^2,0))</f>
        <v>298</v>
      </c>
      <c r="K41" s="20" t="n">
        <f aca="false">MAX(1,ROUND(G41*(F41/I41)^2,0))</f>
        <v>2116</v>
      </c>
      <c r="L41" s="20" t="n">
        <f aca="false">G41*(E41^2+2*E41*(F41-E41)/(1+가정!$B$5)+(F41-E41)^2/(1+2*가정!$B$5))/I41^2</f>
        <v>831.374159437401</v>
      </c>
      <c r="M41" s="4" t="str">
        <f aca="false">INDEX(등급!$A$4:$A$8,MATCH(J41,등급!$B$4:$B$8,1))</f>
        <v>희귀</v>
      </c>
      <c r="N41" s="14" t="n">
        <f aca="false">MATCH(K41,등급!$B$4:$B$8,1)-1</f>
        <v>3</v>
      </c>
      <c r="O41" s="4" t="str">
        <f aca="false">INDEX(등급!$A$4:$A$8,N41+1)</f>
        <v>영웅</v>
      </c>
      <c r="P41" s="28" t="n">
        <f aca="false">MIN(1,H41*가정!$B$24+(MATCH(J41,등급!$B$4:$B$8,1)-1)*가정!$B$25)</f>
        <v>0.45</v>
      </c>
      <c r="Q41" s="28" t="n">
        <f aca="false">MIN(1,H41*가정!$B$24+N41*가정!$B$25+가정!$B$26)</f>
        <v>0.62</v>
      </c>
      <c r="R41" s="29" t="n">
        <f aca="false">장비!$F$5*(1-Q41*가정!$B$14)*가정!$B$15</f>
        <v>0.19044</v>
      </c>
      <c r="S41" s="29" t="n">
        <f aca="false">장비!$F$9*(1-Q41*가정!$B$14)*가정!$B$15</f>
        <v>0.325335</v>
      </c>
      <c r="T41" s="14" t="n">
        <f aca="false">MATCH(G41,등급!$B$4:$B$8,1)-1</f>
        <v>3</v>
      </c>
    </row>
    <row r="42" customFormat="false" ht="15" hidden="false" customHeight="false" outlineLevel="0" collapsed="false">
      <c r="A42" s="4" t="s">
        <v>288</v>
      </c>
      <c r="B42" s="11" t="s">
        <v>289</v>
      </c>
      <c r="C42" s="11" t="s">
        <v>214</v>
      </c>
      <c r="D42" s="4"/>
      <c r="E42" s="9" t="n">
        <v>45</v>
      </c>
      <c r="F42" s="9" t="n">
        <v>80</v>
      </c>
      <c r="G42" s="12" t="n">
        <v>1800</v>
      </c>
      <c r="H42" s="22" t="n">
        <v>0.6</v>
      </c>
      <c r="I42" s="27" t="n">
        <f aca="false">(E42+F42)/2</f>
        <v>62.5</v>
      </c>
      <c r="J42" s="20" t="n">
        <f aca="false">MAX(1,ROUND(G42*(E42/I42)^2,0))</f>
        <v>933</v>
      </c>
      <c r="K42" s="20" t="n">
        <f aca="false">MAX(1,ROUND(G42*(F42/I42)^2,0))</f>
        <v>2949</v>
      </c>
      <c r="L42" s="20" t="n">
        <f aca="false">G42*(E42^2+2*E42*(F42-E42)/(1+가정!$B$5)+(F42-E42)^2/(1+2*가정!$B$5))/I42^2</f>
        <v>1574.23304347826</v>
      </c>
      <c r="M42" s="4" t="str">
        <f aca="false">INDEX(등급!$A$4:$A$8,MATCH(J42,등급!$B$4:$B$8,1))</f>
        <v>영웅</v>
      </c>
      <c r="N42" s="14" t="n">
        <f aca="false">MATCH(K42,등급!$B$4:$B$8,1)-1</f>
        <v>4</v>
      </c>
      <c r="O42" s="4" t="str">
        <f aca="false">INDEX(등급!$A$4:$A$8,N42+1)</f>
        <v>전설</v>
      </c>
      <c r="P42" s="28" t="n">
        <f aca="false">MIN(1,H42*가정!$B$24+(MATCH(J42,등급!$B$4:$B$8,1)-1)*가정!$B$25)</f>
        <v>0.57</v>
      </c>
      <c r="Q42" s="28" t="n">
        <f aca="false">MIN(1,H42*가정!$B$24+N42*가정!$B$25+가정!$B$26)</f>
        <v>0.74</v>
      </c>
      <c r="R42" s="29" t="n">
        <f aca="false">장비!$F$5*(1-Q42*가정!$B$14)*가정!$B$15</f>
        <v>0.17388</v>
      </c>
      <c r="S42" s="29" t="n">
        <f aca="false">장비!$F$9*(1-Q42*가정!$B$14)*가정!$B$15</f>
        <v>0.297045</v>
      </c>
      <c r="T42" s="14" t="n">
        <f aca="false">MATCH(G42,등급!$B$4:$B$8,1)-1</f>
        <v>3</v>
      </c>
    </row>
    <row r="43" customFormat="false" ht="15" hidden="false" customHeight="false" outlineLevel="0" collapsed="false">
      <c r="A43" s="4" t="s">
        <v>290</v>
      </c>
      <c r="B43" s="11" t="s">
        <v>291</v>
      </c>
      <c r="C43" s="11" t="s">
        <v>214</v>
      </c>
      <c r="D43" s="4"/>
      <c r="E43" s="9" t="n">
        <v>40</v>
      </c>
      <c r="F43" s="9" t="n">
        <v>80</v>
      </c>
      <c r="G43" s="12" t="n">
        <v>2400</v>
      </c>
      <c r="H43" s="22" t="n">
        <v>0.65</v>
      </c>
      <c r="I43" s="27" t="n">
        <f aca="false">(E43+F43)/2</f>
        <v>60</v>
      </c>
      <c r="J43" s="20" t="n">
        <f aca="false">MAX(1,ROUND(G43*(E43/I43)^2,0))</f>
        <v>1067</v>
      </c>
      <c r="K43" s="20" t="n">
        <f aca="false">MAX(1,ROUND(G43*(F43/I43)^2,0))</f>
        <v>4267</v>
      </c>
      <c r="L43" s="20" t="n">
        <f aca="false">G43*(E43^2+2*E43*(F43-E43)/(1+가정!$B$5)+(F43-E43)^2/(1+2*가정!$B$5))/I43^2</f>
        <v>2060.45548654244</v>
      </c>
      <c r="M43" s="4" t="str">
        <f aca="false">INDEX(등급!$A$4:$A$8,MATCH(J43,등급!$B$4:$B$8,1))</f>
        <v>영웅</v>
      </c>
      <c r="N43" s="14" t="n">
        <f aca="false">MATCH(K43,등급!$B$4:$B$8,1)-1</f>
        <v>4</v>
      </c>
      <c r="O43" s="4" t="str">
        <f aca="false">INDEX(등급!$A$4:$A$8,N43+1)</f>
        <v>전설</v>
      </c>
      <c r="P43" s="28" t="n">
        <f aca="false">MIN(1,H43*가정!$B$24+(MATCH(J43,등급!$B$4:$B$8,1)-1)*가정!$B$25)</f>
        <v>0.605</v>
      </c>
      <c r="Q43" s="28" t="n">
        <f aca="false">MIN(1,H43*가정!$B$24+N43*가정!$B$25+가정!$B$26)</f>
        <v>0.775</v>
      </c>
      <c r="R43" s="29" t="n">
        <f aca="false">장비!$F$5*(1-Q43*가정!$B$14)*가정!$B$15</f>
        <v>0.16905</v>
      </c>
      <c r="S43" s="29" t="n">
        <f aca="false">장비!$F$9*(1-Q43*가정!$B$14)*가정!$B$15</f>
        <v>0.28879375</v>
      </c>
      <c r="T43" s="14" t="n">
        <f aca="false">MATCH(G43,등급!$B$4:$B$8,1)-1</f>
        <v>3</v>
      </c>
    </row>
    <row r="44" customFormat="false" ht="15" hidden="false" customHeight="false" outlineLevel="0" collapsed="false">
      <c r="A44" s="4" t="s">
        <v>292</v>
      </c>
      <c r="B44" s="11" t="s">
        <v>293</v>
      </c>
      <c r="C44" s="11" t="s">
        <v>223</v>
      </c>
      <c r="D44" s="4"/>
      <c r="E44" s="9" t="n">
        <v>50</v>
      </c>
      <c r="F44" s="9" t="n">
        <v>90</v>
      </c>
      <c r="G44" s="12" t="n">
        <v>2000</v>
      </c>
      <c r="H44" s="22" t="n">
        <v>0.7</v>
      </c>
      <c r="I44" s="27" t="n">
        <f aca="false">(E44+F44)/2</f>
        <v>70</v>
      </c>
      <c r="J44" s="20" t="n">
        <f aca="false">MAX(1,ROUND(G44*(E44/I44)^2,0))</f>
        <v>1020</v>
      </c>
      <c r="K44" s="20" t="n">
        <f aca="false">MAX(1,ROUND(G44*(F44/I44)^2,0))</f>
        <v>3306</v>
      </c>
      <c r="L44" s="20" t="n">
        <f aca="false">G44*(E44^2+2*E44*(F44-E44)/(1+가정!$B$5)+(F44-E44)^2/(1+2*가정!$B$5))/I44^2</f>
        <v>1745.46837368488</v>
      </c>
      <c r="M44" s="4" t="str">
        <f aca="false">INDEX(등급!$A$4:$A$8,MATCH(J44,등급!$B$4:$B$8,1))</f>
        <v>영웅</v>
      </c>
      <c r="N44" s="14" t="n">
        <f aca="false">MATCH(K44,등급!$B$4:$B$8,1)-1</f>
        <v>4</v>
      </c>
      <c r="O44" s="4" t="str">
        <f aca="false">INDEX(등급!$A$4:$A$8,N44+1)</f>
        <v>전설</v>
      </c>
      <c r="P44" s="28" t="n">
        <f aca="false">MIN(1,H44*가정!$B$24+(MATCH(J44,등급!$B$4:$B$8,1)-1)*가정!$B$25)</f>
        <v>0.64</v>
      </c>
      <c r="Q44" s="28" t="n">
        <f aca="false">MIN(1,H44*가정!$B$24+N44*가정!$B$25+가정!$B$26)</f>
        <v>0.81</v>
      </c>
      <c r="R44" s="29" t="n">
        <f aca="false">장비!$F$5*(1-Q44*가정!$B$14)*가정!$B$15</f>
        <v>0.16422</v>
      </c>
      <c r="S44" s="29" t="n">
        <f aca="false">장비!$F$9*(1-Q44*가정!$B$14)*가정!$B$15</f>
        <v>0.2805425</v>
      </c>
      <c r="T44" s="14" t="n">
        <f aca="false">MATCH(G44,등급!$B$4:$B$8,1)-1</f>
        <v>3</v>
      </c>
    </row>
    <row r="45" customFormat="false" ht="15" hidden="false" customHeight="false" outlineLevel="0" collapsed="false">
      <c r="A45" s="4" t="s">
        <v>294</v>
      </c>
      <c r="B45" s="11" t="s">
        <v>295</v>
      </c>
      <c r="C45" s="11" t="s">
        <v>223</v>
      </c>
      <c r="D45" s="4"/>
      <c r="E45" s="9" t="n">
        <v>50</v>
      </c>
      <c r="F45" s="9" t="n">
        <v>120</v>
      </c>
      <c r="G45" s="12" t="n">
        <v>3500</v>
      </c>
      <c r="H45" s="22" t="n">
        <v>0.8</v>
      </c>
      <c r="I45" s="27" t="n">
        <f aca="false">(E45+F45)/2</f>
        <v>85</v>
      </c>
      <c r="J45" s="20" t="n">
        <f aca="false">MAX(1,ROUND(G45*(E45/I45)^2,0))</f>
        <v>1211</v>
      </c>
      <c r="K45" s="20" t="n">
        <f aca="false">MAX(1,ROUND(G45*(F45/I45)^2,0))</f>
        <v>6976</v>
      </c>
      <c r="L45" s="20" t="n">
        <f aca="false">G45*(E45^2+2*E45*(F45-E45)/(1+가정!$B$5)+(F45-E45)^2/(1+2*가정!$B$5))/I45^2</f>
        <v>2938.16759440349</v>
      </c>
      <c r="M45" s="4" t="str">
        <f aca="false">INDEX(등급!$A$4:$A$8,MATCH(J45,등급!$B$4:$B$8,1))</f>
        <v>영웅</v>
      </c>
      <c r="N45" s="14" t="n">
        <f aca="false">MATCH(K45,등급!$B$4:$B$8,1)-1</f>
        <v>4</v>
      </c>
      <c r="O45" s="4" t="str">
        <f aca="false">INDEX(등급!$A$4:$A$8,N45+1)</f>
        <v>전설</v>
      </c>
      <c r="P45" s="28" t="n">
        <f aca="false">MIN(1,H45*가정!$B$24+(MATCH(J45,등급!$B$4:$B$8,1)-1)*가정!$B$25)</f>
        <v>0.71</v>
      </c>
      <c r="Q45" s="28" t="n">
        <f aca="false">MIN(1,H45*가정!$B$24+N45*가정!$B$25+가정!$B$26)</f>
        <v>0.88</v>
      </c>
      <c r="R45" s="29" t="n">
        <f aca="false">장비!$F$5*(1-Q45*가정!$B$14)*가정!$B$15</f>
        <v>0.15456</v>
      </c>
      <c r="S45" s="29" t="n">
        <f aca="false">장비!$F$9*(1-Q45*가정!$B$14)*가정!$B$15</f>
        <v>0.26404</v>
      </c>
      <c r="T45" s="14" t="n">
        <f aca="false">MATCH(G45,등급!$B$4:$B$8,1)-1</f>
        <v>4</v>
      </c>
    </row>
    <row r="46" customFormat="false" ht="15" hidden="false" customHeight="false" outlineLevel="0" collapsed="false">
      <c r="A46" s="4" t="s">
        <v>296</v>
      </c>
      <c r="B46" s="11" t="s">
        <v>297</v>
      </c>
      <c r="C46" s="11" t="s">
        <v>223</v>
      </c>
      <c r="D46" s="4"/>
      <c r="E46" s="9" t="n">
        <v>70</v>
      </c>
      <c r="F46" s="9" t="n">
        <v>140</v>
      </c>
      <c r="G46" s="12" t="n">
        <v>5000</v>
      </c>
      <c r="H46" s="22" t="n">
        <v>0.9</v>
      </c>
      <c r="I46" s="27" t="n">
        <f aca="false">(E46+F46)/2</f>
        <v>105</v>
      </c>
      <c r="J46" s="20" t="n">
        <f aca="false">MAX(1,ROUND(G46*(E46/I46)^2,0))</f>
        <v>2222</v>
      </c>
      <c r="K46" s="20" t="n">
        <f aca="false">MAX(1,ROUND(G46*(F46/I46)^2,0))</f>
        <v>8889</v>
      </c>
      <c r="L46" s="20" t="n">
        <f aca="false">G46*(E46^2+2*E46*(F46-E46)/(1+가정!$B$5)+(F46-E46)^2/(1+2*가정!$B$5))/I46^2</f>
        <v>4292.61559696342</v>
      </c>
      <c r="M46" s="4" t="str">
        <f aca="false">INDEX(등급!$A$4:$A$8,MATCH(J46,등급!$B$4:$B$8,1))</f>
        <v>영웅</v>
      </c>
      <c r="N46" s="14" t="n">
        <f aca="false">MATCH(K46,등급!$B$4:$B$8,1)-1</f>
        <v>4</v>
      </c>
      <c r="O46" s="4" t="str">
        <f aca="false">INDEX(등급!$A$4:$A$8,N46+1)</f>
        <v>전설</v>
      </c>
      <c r="P46" s="28" t="n">
        <f aca="false">MIN(1,H46*가정!$B$24+(MATCH(J46,등급!$B$4:$B$8,1)-1)*가정!$B$25)</f>
        <v>0.78</v>
      </c>
      <c r="Q46" s="28" t="n">
        <f aca="false">MIN(1,H46*가정!$B$24+N46*가정!$B$25+가정!$B$26)</f>
        <v>0.95</v>
      </c>
      <c r="R46" s="29" t="n">
        <f aca="false">장비!$F$5*(1-Q46*가정!$B$14)*가정!$B$15</f>
        <v>0.1449</v>
      </c>
      <c r="S46" s="29" t="n">
        <f aca="false">장비!$F$9*(1-Q46*가정!$B$14)*가정!$B$15</f>
        <v>0.2475375</v>
      </c>
      <c r="T46" s="14" t="n">
        <f aca="false">MATCH(G46,등급!$B$4:$B$8,1)-1</f>
        <v>4</v>
      </c>
    </row>
    <row r="47" customFormat="false" ht="15" hidden="false" customHeight="false" outlineLevel="0" collapsed="false">
      <c r="A47" s="4" t="s">
        <v>298</v>
      </c>
      <c r="B47" s="11" t="s">
        <v>299</v>
      </c>
      <c r="C47" s="11" t="s">
        <v>223</v>
      </c>
      <c r="D47" s="4"/>
      <c r="E47" s="9" t="n">
        <v>80</v>
      </c>
      <c r="F47" s="9" t="n">
        <v>250</v>
      </c>
      <c r="G47" s="12" t="n">
        <v>14000</v>
      </c>
      <c r="H47" s="22" t="n">
        <v>0.99</v>
      </c>
      <c r="I47" s="27" t="n">
        <f aca="false">(E47+F47)/2</f>
        <v>165</v>
      </c>
      <c r="J47" s="20" t="n">
        <f aca="false">MAX(1,ROUND(G47*(E47/I47)^2,0))</f>
        <v>3291</v>
      </c>
      <c r="K47" s="20" t="n">
        <f aca="false">MAX(1,ROUND(G47*(F47/I47)^2,0))</f>
        <v>32140</v>
      </c>
      <c r="L47" s="20" t="n">
        <f aca="false">G47*(E47^2+2*E47*(F47-E47)/(1+가정!$B$5)+(F47-E47)^2/(1+2*가정!$B$5))/I47^2</f>
        <v>11517.2276120893</v>
      </c>
      <c r="M47" s="4" t="str">
        <f aca="false">INDEX(등급!$A$4:$A$8,MATCH(J47,등급!$B$4:$B$8,1))</f>
        <v>전설</v>
      </c>
      <c r="N47" s="14" t="n">
        <f aca="false">MATCH(K47,등급!$B$4:$B$8,1)-1</f>
        <v>4</v>
      </c>
      <c r="O47" s="4" t="str">
        <f aca="false">INDEX(등급!$A$4:$A$8,N47+1)</f>
        <v>전설</v>
      </c>
      <c r="P47" s="28" t="n">
        <f aca="false">MIN(1,H47*가정!$B$24+(MATCH(J47,등급!$B$4:$B$8,1)-1)*가정!$B$25)</f>
        <v>0.893</v>
      </c>
      <c r="Q47" s="28" t="n">
        <f aca="false">MIN(1,H47*가정!$B$24+N47*가정!$B$25+가정!$B$26)</f>
        <v>1</v>
      </c>
      <c r="R47" s="29" t="n">
        <f aca="false">장비!$F$5*(1-Q47*가정!$B$14)*가정!$B$15</f>
        <v>0.138</v>
      </c>
      <c r="S47" s="29" t="n">
        <f aca="false">장비!$F$9*(1-Q47*가정!$B$14)*가정!$B$15</f>
        <v>0.23575</v>
      </c>
      <c r="T47" s="14" t="n">
        <f aca="false">MATCH(G47,등급!$B$4:$B$8,1)-1</f>
        <v>4</v>
      </c>
    </row>
    <row r="48" customFormat="false" ht="15" hidden="false" customHeight="false" outlineLevel="0" collapsed="false">
      <c r="A48" s="4" t="s">
        <v>300</v>
      </c>
      <c r="B48" s="11" t="s">
        <v>301</v>
      </c>
      <c r="C48" s="11" t="s">
        <v>223</v>
      </c>
      <c r="D48" s="4" t="s">
        <v>302</v>
      </c>
      <c r="E48" s="9" t="n">
        <v>30</v>
      </c>
      <c r="F48" s="9" t="n">
        <v>55</v>
      </c>
      <c r="G48" s="12" t="n">
        <v>2500</v>
      </c>
      <c r="H48" s="22" t="n">
        <v>0.6</v>
      </c>
      <c r="I48" s="27" t="n">
        <f aca="false">(E48+F48)/2</f>
        <v>42.5</v>
      </c>
      <c r="J48" s="20" t="n">
        <f aca="false">MAX(1,ROUND(G48*(E48/I48)^2,0))</f>
        <v>1246</v>
      </c>
      <c r="K48" s="20" t="n">
        <f aca="false">MAX(1,ROUND(G48*(F48/I48)^2,0))</f>
        <v>4187</v>
      </c>
      <c r="L48" s="20" t="n">
        <f aca="false">G48*(E48^2+2*E48*(F48-E48)/(1+가정!$B$5)+(F48-E48)^2/(1+2*가정!$B$5))/I48^2</f>
        <v>2175.20256184315</v>
      </c>
      <c r="M48" s="4" t="str">
        <f aca="false">INDEX(등급!$A$4:$A$8,MATCH(J48,등급!$B$4:$B$8,1))</f>
        <v>영웅</v>
      </c>
      <c r="N48" s="14" t="n">
        <f aca="false">MATCH(K48,등급!$B$4:$B$8,1)-1</f>
        <v>4</v>
      </c>
      <c r="O48" s="4" t="str">
        <f aca="false">INDEX(등급!$A$4:$A$8,N48+1)</f>
        <v>전설</v>
      </c>
      <c r="P48" s="28" t="n">
        <f aca="false">MIN(1,H48*가정!$B$24+(MATCH(J48,등급!$B$4:$B$8,1)-1)*가정!$B$25)</f>
        <v>0.57</v>
      </c>
      <c r="Q48" s="28" t="n">
        <f aca="false">MIN(1,H48*가정!$B$24+N48*가정!$B$25+가정!$B$26)</f>
        <v>0.74</v>
      </c>
      <c r="R48" s="29" t="n">
        <f aca="false">장비!$F$5*(1-Q48*가정!$B$14)*가정!$B$15</f>
        <v>0.17388</v>
      </c>
      <c r="S48" s="29" t="n">
        <f aca="false">장비!$F$9*(1-Q48*가정!$B$14)*가정!$B$15</f>
        <v>0.297045</v>
      </c>
      <c r="T48" s="14" t="n">
        <f aca="false">MATCH(G48,등급!$B$4:$B$8,1)-1</f>
        <v>4</v>
      </c>
    </row>
    <row r="49" customFormat="false" ht="15" hidden="false" customHeight="false" outlineLevel="0" collapsed="false">
      <c r="A49" s="4" t="s">
        <v>303</v>
      </c>
      <c r="B49" s="11" t="s">
        <v>304</v>
      </c>
      <c r="C49" s="11" t="s">
        <v>223</v>
      </c>
      <c r="D49" s="4" t="s">
        <v>302</v>
      </c>
      <c r="E49" s="9" t="n">
        <v>90</v>
      </c>
      <c r="F49" s="9" t="n">
        <v>180</v>
      </c>
      <c r="G49" s="12" t="n">
        <v>1800</v>
      </c>
      <c r="H49" s="22" t="n">
        <v>0.55</v>
      </c>
      <c r="I49" s="27" t="n">
        <f aca="false">(E49+F49)/2</f>
        <v>135</v>
      </c>
      <c r="J49" s="20" t="n">
        <f aca="false">MAX(1,ROUND(G49*(E49/I49)^2,0))</f>
        <v>800</v>
      </c>
      <c r="K49" s="20" t="n">
        <f aca="false">MAX(1,ROUND(G49*(F49/I49)^2,0))</f>
        <v>3200</v>
      </c>
      <c r="L49" s="20" t="n">
        <f aca="false">G49*(E49^2+2*E49*(F49-E49)/(1+가정!$B$5)+(F49-E49)^2/(1+2*가정!$B$5))/I49^2</f>
        <v>1545.34161490683</v>
      </c>
      <c r="M49" s="4" t="str">
        <f aca="false">INDEX(등급!$A$4:$A$8,MATCH(J49,등급!$B$4:$B$8,1))</f>
        <v>영웅</v>
      </c>
      <c r="N49" s="14" t="n">
        <f aca="false">MATCH(K49,등급!$B$4:$B$8,1)-1</f>
        <v>4</v>
      </c>
      <c r="O49" s="4" t="str">
        <f aca="false">INDEX(등급!$A$4:$A$8,N49+1)</f>
        <v>전설</v>
      </c>
      <c r="P49" s="28" t="n">
        <f aca="false">MIN(1,H49*가정!$B$24+(MATCH(J49,등급!$B$4:$B$8,1)-1)*가정!$B$25)</f>
        <v>0.535</v>
      </c>
      <c r="Q49" s="28" t="n">
        <f aca="false">MIN(1,H49*가정!$B$24+N49*가정!$B$25+가정!$B$26)</f>
        <v>0.705</v>
      </c>
      <c r="R49" s="29" t="n">
        <f aca="false">장비!$F$5*(1-Q49*가정!$B$14)*가정!$B$15</f>
        <v>0.17871</v>
      </c>
      <c r="S49" s="29" t="n">
        <f aca="false">장비!$F$9*(1-Q49*가정!$B$14)*가정!$B$15</f>
        <v>0.30529625</v>
      </c>
      <c r="T49" s="14" t="n">
        <f aca="false">MATCH(G49,등급!$B$4:$B$8,1)-1</f>
        <v>3</v>
      </c>
    </row>
    <row r="50" customFormat="false" ht="15" hidden="false" customHeight="false" outlineLevel="0" collapsed="false">
      <c r="A50" s="4" t="s">
        <v>305</v>
      </c>
      <c r="B50" s="11" t="s">
        <v>306</v>
      </c>
      <c r="C50" s="11" t="s">
        <v>214</v>
      </c>
      <c r="D50" s="4" t="s">
        <v>302</v>
      </c>
      <c r="E50" s="9" t="n">
        <v>50</v>
      </c>
      <c r="F50" s="9" t="n">
        <v>120</v>
      </c>
      <c r="G50" s="12" t="n">
        <v>6000</v>
      </c>
      <c r="H50" s="22" t="n">
        <v>0.85</v>
      </c>
      <c r="I50" s="27" t="n">
        <f aca="false">(E50+F50)/2</f>
        <v>85</v>
      </c>
      <c r="J50" s="20" t="n">
        <f aca="false">MAX(1,ROUND(G50*(E50/I50)^2,0))</f>
        <v>2076</v>
      </c>
      <c r="K50" s="20" t="n">
        <f aca="false">MAX(1,ROUND(G50*(F50/I50)^2,0))</f>
        <v>11958</v>
      </c>
      <c r="L50" s="20" t="n">
        <f aca="false">G50*(E50^2+2*E50*(F50-E50)/(1+가정!$B$5)+(F50-E50)^2/(1+2*가정!$B$5))/I50^2</f>
        <v>5036.85873326313</v>
      </c>
      <c r="M50" s="4" t="str">
        <f aca="false">INDEX(등급!$A$4:$A$8,MATCH(J50,등급!$B$4:$B$8,1))</f>
        <v>영웅</v>
      </c>
      <c r="N50" s="14" t="n">
        <f aca="false">MATCH(K50,등급!$B$4:$B$8,1)-1</f>
        <v>4</v>
      </c>
      <c r="O50" s="4" t="str">
        <f aca="false">INDEX(등급!$A$4:$A$8,N50+1)</f>
        <v>전설</v>
      </c>
      <c r="P50" s="28" t="n">
        <f aca="false">MIN(1,H50*가정!$B$24+(MATCH(J50,등급!$B$4:$B$8,1)-1)*가정!$B$25)</f>
        <v>0.745</v>
      </c>
      <c r="Q50" s="28" t="n">
        <f aca="false">MIN(1,H50*가정!$B$24+N50*가정!$B$25+가정!$B$26)</f>
        <v>0.915</v>
      </c>
      <c r="R50" s="29" t="n">
        <f aca="false">장비!$F$5*(1-Q50*가정!$B$14)*가정!$B$15</f>
        <v>0.14973</v>
      </c>
      <c r="S50" s="29" t="n">
        <f aca="false">장비!$F$9*(1-Q50*가정!$B$14)*가정!$B$15</f>
        <v>0.25578875</v>
      </c>
      <c r="T50" s="14" t="n">
        <f aca="false">MATCH(G50,등급!$B$4:$B$8,1)-1</f>
        <v>4</v>
      </c>
    </row>
    <row r="51" customFormat="false" ht="15" hidden="false" customHeight="false" outlineLevel="0" collapsed="false">
      <c r="A51" s="4" t="s">
        <v>307</v>
      </c>
      <c r="B51" s="11" t="s">
        <v>308</v>
      </c>
      <c r="C51" s="11" t="s">
        <v>223</v>
      </c>
      <c r="D51" s="4" t="s">
        <v>302</v>
      </c>
      <c r="E51" s="9" t="n">
        <v>100</v>
      </c>
      <c r="F51" s="9" t="n">
        <v>220</v>
      </c>
      <c r="G51" s="12" t="n">
        <v>20000</v>
      </c>
      <c r="H51" s="22" t="n">
        <v>0.99</v>
      </c>
      <c r="I51" s="27" t="n">
        <f aca="false">(E51+F51)/2</f>
        <v>160</v>
      </c>
      <c r="J51" s="20" t="n">
        <f aca="false">MAX(1,ROUND(G51*(E51/I51)^2,0))</f>
        <v>7813</v>
      </c>
      <c r="K51" s="20" t="n">
        <f aca="false">MAX(1,ROUND(G51*(F51/I51)^2,0))</f>
        <v>37813</v>
      </c>
      <c r="L51" s="20" t="n">
        <f aca="false">G51*(E51^2+2*E51*(F51-E51)/(1+가정!$B$5)+(F51-E51)^2/(1+2*가정!$B$5))/I51^2</f>
        <v>16954.5807453416</v>
      </c>
      <c r="M51" s="4" t="str">
        <f aca="false">INDEX(등급!$A$4:$A$8,MATCH(J51,등급!$B$4:$B$8,1))</f>
        <v>전설</v>
      </c>
      <c r="N51" s="14" t="n">
        <f aca="false">MATCH(K51,등급!$B$4:$B$8,1)-1</f>
        <v>4</v>
      </c>
      <c r="O51" s="4" t="str">
        <f aca="false">INDEX(등급!$A$4:$A$8,N51+1)</f>
        <v>전설</v>
      </c>
      <c r="P51" s="28" t="n">
        <f aca="false">MIN(1,H51*가정!$B$24+(MATCH(J51,등급!$B$4:$B$8,1)-1)*가정!$B$25)</f>
        <v>0.893</v>
      </c>
      <c r="Q51" s="28" t="n">
        <f aca="false">MIN(1,H51*가정!$B$24+N51*가정!$B$25+가정!$B$26)</f>
        <v>1</v>
      </c>
      <c r="R51" s="29" t="n">
        <f aca="false">장비!$F$5*(1-Q51*가정!$B$14)*가정!$B$15</f>
        <v>0.138</v>
      </c>
      <c r="S51" s="29" t="n">
        <f aca="false">장비!$F$9*(1-Q51*가정!$B$14)*가정!$B$15</f>
        <v>0.23575</v>
      </c>
      <c r="T51" s="14" t="n">
        <f aca="false">MATCH(G51,등급!$B$4:$B$8,1)-1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10" min="8" style="0" width="14"/>
    <col collapsed="false" customWidth="true" hidden="false" outlineLevel="0" max="11" min="11" style="0" width="12"/>
    <col collapsed="false" customWidth="true" hidden="false" outlineLevel="0" max="12" min="12" style="0" width="4"/>
    <col collapsed="false" customWidth="true" hidden="false" outlineLevel="0" max="14" min="13" style="0" width="14"/>
    <col collapsed="false" customWidth="true" hidden="false" outlineLevel="0" max="19" min="15" style="0" width="10"/>
  </cols>
  <sheetData>
    <row r="1" customFormat="false" ht="16.15" hidden="false" customHeight="false" outlineLevel="0" collapsed="false">
      <c r="A1" s="1" t="s">
        <v>309</v>
      </c>
    </row>
    <row r="2" customFormat="false" ht="15" hidden="false" customHeight="false" outlineLevel="0" collapsed="false">
      <c r="A2" s="2" t="s">
        <v>310</v>
      </c>
    </row>
    <row r="4" customFormat="false" ht="31.5" hidden="false" customHeight="true" outlineLevel="0" collapsed="false">
      <c r="A4" s="3" t="s">
        <v>311</v>
      </c>
      <c r="B4" s="3" t="s">
        <v>312</v>
      </c>
      <c r="C4" s="3" t="s">
        <v>313</v>
      </c>
      <c r="D4" s="3" t="s">
        <v>314</v>
      </c>
      <c r="E4" s="3" t="s">
        <v>315</v>
      </c>
      <c r="F4" s="3" t="s">
        <v>203</v>
      </c>
      <c r="G4" s="3" t="s">
        <v>316</v>
      </c>
      <c r="H4" s="3" t="s">
        <v>317</v>
      </c>
      <c r="I4" s="3" t="s">
        <v>318</v>
      </c>
      <c r="J4" s="3" t="s">
        <v>319</v>
      </c>
    </row>
    <row r="5" customFormat="false" ht="15" hidden="false" customHeight="false" outlineLevel="0" collapsed="false">
      <c r="A5" s="4" t="s">
        <v>320</v>
      </c>
      <c r="B5" s="4" t="s">
        <v>321</v>
      </c>
      <c r="C5" s="12" t="n">
        <v>0</v>
      </c>
      <c r="D5" s="11" t="s">
        <v>214</v>
      </c>
      <c r="E5" s="14" t="n">
        <f aca="false">COUNTIF($A$18:$A$74,B5)</f>
        <v>3</v>
      </c>
      <c r="F5" s="20" t="n">
        <f aca="false">SUMIF($A$18:$A$74,B5,$G$18:$G$74)</f>
        <v>15.9562934336509</v>
      </c>
      <c r="G5" s="24" t="n">
        <f aca="false">ROUNDUP((C6-가정!$B$12)/F5,0)</f>
        <v>0</v>
      </c>
      <c r="H5" s="14" t="n">
        <f aca="false">COUNTIFS($A$18:$A$74,B5,$I$18:$I$74,"전설")</f>
        <v>0</v>
      </c>
      <c r="I5" s="20" t="n">
        <f aca="false">SUMIF($A$18:$A$74,B5,$M$18:$M$74)</f>
        <v>15.5107341598645</v>
      </c>
      <c r="J5" s="20" t="n">
        <f aca="false">SUMIF($A$18:$A$74,B5,$N$18:$N$74)</f>
        <v>16.5397899764719</v>
      </c>
    </row>
    <row r="6" customFormat="false" ht="15" hidden="false" customHeight="false" outlineLevel="0" collapsed="false">
      <c r="A6" s="4" t="s">
        <v>322</v>
      </c>
      <c r="B6" s="4" t="s">
        <v>323</v>
      </c>
      <c r="C6" s="12" t="n">
        <v>150</v>
      </c>
      <c r="D6" s="11" t="s">
        <v>214</v>
      </c>
      <c r="E6" s="14" t="n">
        <f aca="false">COUNTIF($A$18:$A$74,B6)</f>
        <v>6</v>
      </c>
      <c r="F6" s="20" t="n">
        <f aca="false">SUMIF($A$18:$A$74,B6,$G$18:$G$74)</f>
        <v>22.9060014687636</v>
      </c>
      <c r="G6" s="24" t="n">
        <f aca="false">ROUNDUP(C7/F6,0)</f>
        <v>27</v>
      </c>
      <c r="H6" s="14" t="n">
        <f aca="false">COUNTIFS($A$18:$A$74,B6,$I$18:$I$74,"전설")</f>
        <v>0</v>
      </c>
      <c r="I6" s="20" t="n">
        <f aca="false">SUMIF($A$18:$A$74,B6,$M$18:$M$74)</f>
        <v>19.9954304981319</v>
      </c>
      <c r="J6" s="20" t="n">
        <f aca="false">SUMIF($A$18:$A$74,B6,$N$18:$N$74)</f>
        <v>26.4221274735535</v>
      </c>
    </row>
    <row r="7" customFormat="false" ht="15" hidden="false" customHeight="false" outlineLevel="0" collapsed="false">
      <c r="A7" s="4" t="s">
        <v>324</v>
      </c>
      <c r="B7" s="4" t="s">
        <v>325</v>
      </c>
      <c r="C7" s="12" t="n">
        <v>600</v>
      </c>
      <c r="D7" s="11" t="s">
        <v>214</v>
      </c>
      <c r="E7" s="14" t="n">
        <f aca="false">COUNTIF($A$18:$A$74,B7)</f>
        <v>7</v>
      </c>
      <c r="F7" s="20" t="n">
        <f aca="false">SUMIF($A$18:$A$74,B7,$G$18:$G$74)</f>
        <v>47.0148669809363</v>
      </c>
      <c r="G7" s="24" t="n">
        <f aca="false">ROUNDUP(C8/F7,0)</f>
        <v>32</v>
      </c>
      <c r="H7" s="14" t="n">
        <f aca="false">COUNTIFS($A$18:$A$74,B7,$I$18:$I$74,"전설")</f>
        <v>1</v>
      </c>
      <c r="I7" s="20" t="n">
        <f aca="false">SUMIF($A$18:$A$74,B7,$M$18:$M$74)</f>
        <v>34.6166477771951</v>
      </c>
      <c r="J7" s="20" t="n">
        <f aca="false">SUMIF($A$18:$A$74,B7,$N$18:$N$74)</f>
        <v>66.7160206581735</v>
      </c>
    </row>
    <row r="8" customFormat="false" ht="15" hidden="false" customHeight="false" outlineLevel="0" collapsed="false">
      <c r="A8" s="4" t="s">
        <v>326</v>
      </c>
      <c r="B8" s="4" t="s">
        <v>327</v>
      </c>
      <c r="C8" s="12" t="n">
        <v>1500</v>
      </c>
      <c r="D8" s="11" t="s">
        <v>214</v>
      </c>
      <c r="E8" s="14" t="n">
        <f aca="false">COUNTIF($A$18:$A$74,B8)</f>
        <v>8</v>
      </c>
      <c r="F8" s="20" t="n">
        <f aca="false">SUMIF($A$18:$A$74,B8,$G$18:$G$74)</f>
        <v>122.221537481253</v>
      </c>
      <c r="G8" s="24" t="n">
        <f aca="false">ROUNDUP(C9/F8,0)</f>
        <v>25</v>
      </c>
      <c r="H8" s="14" t="n">
        <f aca="false">COUNTIFS($A$18:$A$74,B8,$I$18:$I$74,"전설")</f>
        <v>1</v>
      </c>
      <c r="I8" s="20" t="n">
        <f aca="false">SUMIF($A$18:$A$74,B8,$M$18:$M$74)</f>
        <v>88.4793821300199</v>
      </c>
      <c r="J8" s="20" t="n">
        <f aca="false">SUMIF($A$18:$A$74,B8,$N$18:$N$74)</f>
        <v>168.298288084171</v>
      </c>
    </row>
    <row r="9" customFormat="false" ht="15" hidden="false" customHeight="false" outlineLevel="0" collapsed="false">
      <c r="A9" s="4" t="s">
        <v>328</v>
      </c>
      <c r="B9" s="4" t="s">
        <v>329</v>
      </c>
      <c r="C9" s="12" t="n">
        <v>3000</v>
      </c>
      <c r="D9" s="11" t="s">
        <v>214</v>
      </c>
      <c r="E9" s="14" t="n">
        <f aca="false">COUNTIF($A$18:$A$74,B9)</f>
        <v>7</v>
      </c>
      <c r="F9" s="20" t="n">
        <f aca="false">SUMIF($A$18:$A$74,B9,$G$18:$G$74)</f>
        <v>269.429188313713</v>
      </c>
      <c r="G9" s="24" t="n">
        <f aca="false">ROUNDUP(C10/F9,0)</f>
        <v>30</v>
      </c>
      <c r="H9" s="14" t="n">
        <f aca="false">COUNTIFS($A$18:$A$74,B9,$I$18:$I$74,"전설")</f>
        <v>2</v>
      </c>
      <c r="I9" s="20" t="n">
        <f aca="false">SUMIF($A$18:$A$74,B9,$M$18:$M$74)</f>
        <v>224.414542079013</v>
      </c>
      <c r="J9" s="20" t="n">
        <f aca="false">SUMIF($A$18:$A$74,B9,$N$18:$N$74)</f>
        <v>332.312797789365</v>
      </c>
    </row>
    <row r="10" customFormat="false" ht="15" hidden="false" customHeight="false" outlineLevel="0" collapsed="false">
      <c r="A10" s="4" t="s">
        <v>330</v>
      </c>
      <c r="B10" s="4" t="s">
        <v>331</v>
      </c>
      <c r="C10" s="12" t="n">
        <v>8000</v>
      </c>
      <c r="D10" s="11" t="s">
        <v>223</v>
      </c>
      <c r="E10" s="14" t="n">
        <f aca="false">COUNTIF($A$18:$A$74,B10)</f>
        <v>6</v>
      </c>
      <c r="F10" s="20" t="n">
        <f aca="false">SUMIF($A$18:$A$74,B10,$G$18:$G$74)</f>
        <v>758.269279988315</v>
      </c>
      <c r="G10" s="24" t="n">
        <f aca="false">ROUNDUP(C11/F10,0)</f>
        <v>33</v>
      </c>
      <c r="H10" s="14" t="n">
        <f aca="false">COUNTIFS($A$18:$A$74,B10,$I$18:$I$74,"전설")</f>
        <v>3</v>
      </c>
      <c r="I10" s="20" t="n">
        <f aca="false">SUMIF($A$18:$A$74,B10,$M$18:$M$74)</f>
        <v>588.258441092311</v>
      </c>
      <c r="J10" s="20" t="n">
        <f aca="false">SUMIF($A$18:$A$74,B10,$N$18:$N$74)</f>
        <v>959.735272708961</v>
      </c>
    </row>
    <row r="11" customFormat="false" ht="15" hidden="false" customHeight="false" outlineLevel="0" collapsed="false">
      <c r="A11" s="4" t="s">
        <v>332</v>
      </c>
      <c r="B11" s="4" t="s">
        <v>333</v>
      </c>
      <c r="C11" s="12" t="n">
        <v>25000</v>
      </c>
      <c r="D11" s="11" t="s">
        <v>223</v>
      </c>
      <c r="E11" s="14" t="n">
        <f aca="false">COUNTIF($A$18:$A$74,B11)</f>
        <v>6</v>
      </c>
      <c r="F11" s="20" t="n">
        <f aca="false">SUMIF($A$18:$A$74,B11,$G$18:$G$74)</f>
        <v>1261.83027138793</v>
      </c>
      <c r="G11" s="24" t="n">
        <f aca="false">ROUNDUP(C12/F11,0)</f>
        <v>40</v>
      </c>
      <c r="H11" s="14" t="n">
        <f aca="false">COUNTIFS($A$18:$A$74,B11,$I$18:$I$74,"전설")</f>
        <v>4</v>
      </c>
      <c r="I11" s="20" t="n">
        <f aca="false">SUMIF($A$18:$A$74,B11,$M$18:$M$74)</f>
        <v>1031.25377722771</v>
      </c>
      <c r="J11" s="20" t="n">
        <f aca="false">SUMIF($A$18:$A$74,B11,$N$18:$N$74)</f>
        <v>1519.37723491881</v>
      </c>
    </row>
    <row r="12" customFormat="false" ht="15" hidden="false" customHeight="false" outlineLevel="0" collapsed="false">
      <c r="A12" s="4" t="s">
        <v>334</v>
      </c>
      <c r="B12" s="4" t="s">
        <v>335</v>
      </c>
      <c r="C12" s="12" t="n">
        <v>50000</v>
      </c>
      <c r="D12" s="11" t="s">
        <v>223</v>
      </c>
      <c r="E12" s="14" t="n">
        <f aca="false">COUNTIF($A$18:$A$74,B12)</f>
        <v>7</v>
      </c>
      <c r="F12" s="20" t="n">
        <f aca="false">SUMIF($A$18:$A$74,B12,$G$18:$G$74)</f>
        <v>2008.83703106896</v>
      </c>
      <c r="G12" s="4" t="s">
        <v>336</v>
      </c>
      <c r="H12" s="14" t="n">
        <f aca="false">COUNTIFS($A$18:$A$74,B12,$I$18:$I$74,"전설")</f>
        <v>6</v>
      </c>
      <c r="I12" s="20" t="n">
        <f aca="false">SUMIF($A$18:$A$74,B12,$M$18:$M$74)</f>
        <v>1884.10824695933</v>
      </c>
      <c r="J12" s="20" t="n">
        <f aca="false">SUMIF($A$18:$A$74,B12,$N$18:$N$74)</f>
        <v>2158.41530279907</v>
      </c>
    </row>
    <row r="13" customFormat="false" ht="15" hidden="false" customHeight="false" outlineLevel="0" collapsed="false">
      <c r="A13" s="4" t="s">
        <v>337</v>
      </c>
      <c r="B13" s="4" t="s">
        <v>338</v>
      </c>
      <c r="C13" s="4" t="s">
        <v>339</v>
      </c>
      <c r="D13" s="11" t="s">
        <v>223</v>
      </c>
      <c r="E13" s="14" t="n">
        <f aca="false">COUNTIF($A$18:$A$74,B13)</f>
        <v>7</v>
      </c>
      <c r="F13" s="20" t="n">
        <f aca="false">SUMIF($A$18:$A$74,B13,$G$18:$G$74)</f>
        <v>1944.80772047492</v>
      </c>
      <c r="G13" s="4" t="s">
        <v>336</v>
      </c>
      <c r="H13" s="14" t="n">
        <f aca="false">COUNTIFS($A$18:$A$74,B13,$I$18:$I$74,"전설")</f>
        <v>6</v>
      </c>
      <c r="I13" s="20" t="n">
        <f aca="false">SUMIF($A$18:$A$74,B13,$M$18:$M$74)</f>
        <v>1806.84392337803</v>
      </c>
      <c r="J13" s="20" t="n">
        <f aca="false">SUMIF($A$18:$A$74,B13,$N$18:$N$74)</f>
        <v>2104.83864095855</v>
      </c>
    </row>
    <row r="16" customFormat="false" ht="15" hidden="false" customHeight="false" outlineLevel="0" collapsed="false">
      <c r="A16" s="30" t="s">
        <v>340</v>
      </c>
    </row>
    <row r="17" customFormat="false" ht="31.5" hidden="false" customHeight="true" outlineLevel="0" collapsed="false">
      <c r="A17" s="3" t="s">
        <v>312</v>
      </c>
      <c r="B17" s="3" t="s">
        <v>341</v>
      </c>
      <c r="C17" s="3" t="s">
        <v>126</v>
      </c>
      <c r="D17" s="3" t="s">
        <v>194</v>
      </c>
      <c r="E17" s="3" t="s">
        <v>342</v>
      </c>
      <c r="F17" s="3" t="s">
        <v>343</v>
      </c>
      <c r="G17" s="3" t="s">
        <v>344</v>
      </c>
      <c r="H17" s="3" t="s">
        <v>203</v>
      </c>
      <c r="I17" s="3" t="s">
        <v>206</v>
      </c>
      <c r="J17" s="3" t="s">
        <v>345</v>
      </c>
      <c r="K17" s="3" t="s">
        <v>346</v>
      </c>
      <c r="L17" s="3"/>
      <c r="M17" s="3" t="s">
        <v>347</v>
      </c>
      <c r="N17" s="3" t="s">
        <v>348</v>
      </c>
      <c r="O17" s="3" t="s">
        <v>196</v>
      </c>
      <c r="P17" s="3" t="s">
        <v>197</v>
      </c>
      <c r="Q17" s="3" t="s">
        <v>198</v>
      </c>
      <c r="R17" s="3" t="s">
        <v>200</v>
      </c>
      <c r="S17" s="3" t="s">
        <v>349</v>
      </c>
    </row>
    <row r="18" customFormat="false" ht="15" hidden="false" customHeight="false" outlineLevel="0" collapsed="false">
      <c r="A18" s="4" t="s">
        <v>321</v>
      </c>
      <c r="B18" s="4" t="s">
        <v>212</v>
      </c>
      <c r="C18" s="31" t="str">
        <f aca="false">물고기!B5</f>
        <v>붕어</v>
      </c>
      <c r="D18" s="31" t="str">
        <f aca="false">물고기!C5</f>
        <v>찌낚시</v>
      </c>
      <c r="E18" s="32" t="n">
        <v>70</v>
      </c>
      <c r="F18" s="29" t="n">
        <f aca="false">E18/SUMIF($A$18:$A$74,A18,$E$18:$E$74)</f>
        <v>0.7</v>
      </c>
      <c r="G18" s="20" t="n">
        <f aca="false">F18*H18</f>
        <v>7.02324755989352</v>
      </c>
      <c r="H18" s="5" t="n">
        <f aca="false">물고기!L5</f>
        <v>10.0332107998479</v>
      </c>
      <c r="I18" s="31" t="str">
        <f aca="false">물고기!O5</f>
        <v>일반</v>
      </c>
      <c r="J18" s="28" t="n">
        <f aca="false">E18*(1+가정!$B$27)^(-물고기!T5)</f>
        <v>70</v>
      </c>
      <c r="K18" s="28" t="n">
        <f aca="false">E18*(1+가정!$B$27)^(물고기!T5)</f>
        <v>70</v>
      </c>
      <c r="M18" s="20" t="n">
        <f aca="false">J18/SUMIF($A$18:$A$74,A18,$J$18:$J$74)*H18</f>
        <v>7.11548533272514</v>
      </c>
      <c r="N18" s="20" t="n">
        <f aca="false">K18/SUMIF($A$18:$A$74,A18,$K$18:$K$74)*H18</f>
        <v>6.90245460431796</v>
      </c>
      <c r="O18" s="31" t="n">
        <f aca="false">물고기!E5</f>
        <v>12</v>
      </c>
      <c r="P18" s="31" t="n">
        <f aca="false">물고기!F5</f>
        <v>30</v>
      </c>
      <c r="Q18" s="5" t="n">
        <f aca="false">물고기!G5</f>
        <v>12</v>
      </c>
      <c r="R18" s="33" t="n">
        <f aca="false">물고기!I5</f>
        <v>21</v>
      </c>
      <c r="S18" s="31" t="n">
        <f aca="false">물고기!T5</f>
        <v>0</v>
      </c>
    </row>
    <row r="19" customFormat="false" ht="15" hidden="false" customHeight="false" outlineLevel="0" collapsed="false">
      <c r="A19" s="4" t="s">
        <v>321</v>
      </c>
      <c r="B19" s="4" t="s">
        <v>215</v>
      </c>
      <c r="C19" s="31" t="str">
        <f aca="false">물고기!B6</f>
        <v>향어</v>
      </c>
      <c r="D19" s="31" t="str">
        <f aca="false">물고기!C6</f>
        <v>찌낚시</v>
      </c>
      <c r="E19" s="32" t="n">
        <v>25</v>
      </c>
      <c r="F19" s="29" t="n">
        <f aca="false">E19/SUMIF($A$18:$A$74,A19,$E$18:$E$74)</f>
        <v>0.25</v>
      </c>
      <c r="G19" s="20" t="n">
        <f aca="false">F19*H19</f>
        <v>6.43892339544513</v>
      </c>
      <c r="H19" s="5" t="n">
        <f aca="false">물고기!L6</f>
        <v>25.7556935817805</v>
      </c>
      <c r="I19" s="31" t="str">
        <f aca="false">물고기!O6</f>
        <v>일반</v>
      </c>
      <c r="J19" s="28" t="n">
        <f aca="false">E19*(1+가정!$B$27)^(-물고기!T6)</f>
        <v>25</v>
      </c>
      <c r="K19" s="28" t="n">
        <f aca="false">E19*(1+가정!$B$27)^(물고기!T6)</f>
        <v>25</v>
      </c>
      <c r="M19" s="20" t="n">
        <f aca="false">J19/SUMIF($A$18:$A$74,A19,$J$18:$J$74)*H19</f>
        <v>6.52348711733653</v>
      </c>
      <c r="N19" s="20" t="n">
        <f aca="false">K19/SUMIF($A$18:$A$74,A19,$K$18:$K$74)*H19</f>
        <v>6.32818024122372</v>
      </c>
      <c r="O19" s="31" t="n">
        <f aca="false">물고기!E6</f>
        <v>25</v>
      </c>
      <c r="P19" s="31" t="n">
        <f aca="false">물고기!F6</f>
        <v>50</v>
      </c>
      <c r="Q19" s="5" t="n">
        <f aca="false">물고기!G6</f>
        <v>30</v>
      </c>
      <c r="R19" s="33" t="n">
        <f aca="false">물고기!I6</f>
        <v>37.5</v>
      </c>
      <c r="S19" s="31" t="n">
        <f aca="false">물고기!T6</f>
        <v>0</v>
      </c>
    </row>
    <row r="20" customFormat="false" ht="15" hidden="false" customHeight="false" outlineLevel="0" collapsed="false">
      <c r="A20" s="4" t="s">
        <v>321</v>
      </c>
      <c r="B20" s="4" t="s">
        <v>217</v>
      </c>
      <c r="C20" s="31" t="str">
        <f aca="false">물고기!B7</f>
        <v>잉어</v>
      </c>
      <c r="D20" s="31" t="str">
        <f aca="false">물고기!C7</f>
        <v>찌낚시</v>
      </c>
      <c r="E20" s="32" t="n">
        <v>5</v>
      </c>
      <c r="F20" s="29" t="n">
        <f aca="false">E20/SUMIF($A$18:$A$74,A20,$E$18:$E$74)</f>
        <v>0.05</v>
      </c>
      <c r="G20" s="20" t="n">
        <f aca="false">F20*H20</f>
        <v>2.4941224783122</v>
      </c>
      <c r="H20" s="5" t="n">
        <f aca="false">물고기!L7</f>
        <v>49.882449566244</v>
      </c>
      <c r="I20" s="31" t="str">
        <f aca="false">물고기!O7</f>
        <v>고급</v>
      </c>
      <c r="J20" s="28" t="n">
        <f aca="false">E20*(1+가정!$B$27)^(-물고기!T7)</f>
        <v>3.7037037037037</v>
      </c>
      <c r="K20" s="28" t="n">
        <f aca="false">E20*(1+가정!$B$27)^(물고기!T7)</f>
        <v>6.75</v>
      </c>
      <c r="M20" s="20" t="n">
        <f aca="false">J20/SUMIF($A$18:$A$74,A20,$J$18:$J$74)*H20</f>
        <v>1.87176170980278</v>
      </c>
      <c r="N20" s="20" t="n">
        <f aca="false">K20/SUMIF($A$18:$A$74,A20,$K$18:$K$74)*H20</f>
        <v>3.30915513093019</v>
      </c>
      <c r="O20" s="31" t="n">
        <f aca="false">물고기!E7</f>
        <v>30</v>
      </c>
      <c r="P20" s="31" t="n">
        <f aca="false">물고기!F7</f>
        <v>80</v>
      </c>
      <c r="Q20" s="5" t="n">
        <f aca="false">물고기!G7</f>
        <v>60</v>
      </c>
      <c r="R20" s="33" t="n">
        <f aca="false">물고기!I7</f>
        <v>55</v>
      </c>
      <c r="S20" s="31" t="n">
        <f aca="false">물고기!T7</f>
        <v>1</v>
      </c>
    </row>
    <row r="21" customFormat="false" ht="15" hidden="false" customHeight="false" outlineLevel="0" collapsed="false">
      <c r="A21" s="4" t="s">
        <v>323</v>
      </c>
      <c r="B21" s="4" t="s">
        <v>258</v>
      </c>
      <c r="C21" s="31" t="str">
        <f aca="false">물고기!B27</f>
        <v>버들치</v>
      </c>
      <c r="D21" s="31" t="str">
        <f aca="false">물고기!C27</f>
        <v>찌낚시</v>
      </c>
      <c r="E21" s="32" t="n">
        <v>25</v>
      </c>
      <c r="F21" s="29" t="n">
        <f aca="false">E21/SUMIF($A$18:$A$74,A21,$E$18:$E$74)</f>
        <v>0.255102040816327</v>
      </c>
      <c r="G21" s="20" t="n">
        <f aca="false">F21*H21</f>
        <v>1.71321725621195</v>
      </c>
      <c r="H21" s="5" t="n">
        <f aca="false">물고기!L27</f>
        <v>6.71581164435083</v>
      </c>
      <c r="I21" s="31" t="str">
        <f aca="false">물고기!O27</f>
        <v>일반</v>
      </c>
      <c r="J21" s="28" t="n">
        <f aca="false">E21*(1+가정!$B$27)^(-물고기!T27)</f>
        <v>25</v>
      </c>
      <c r="K21" s="28" t="n">
        <f aca="false">E21*(1+가정!$B$27)^(물고기!T27)</f>
        <v>25</v>
      </c>
      <c r="M21" s="20" t="n">
        <f aca="false">J21/SUMIF($A$18:$A$74,A21,$J$18:$J$74)*H21</f>
        <v>1.79887811902255</v>
      </c>
      <c r="N21" s="20" t="n">
        <f aca="false">K21/SUMIF($A$18:$A$74,A21,$K$18:$K$74)*H21</f>
        <v>1.60973433469579</v>
      </c>
      <c r="O21" s="31" t="n">
        <f aca="false">물고기!E27</f>
        <v>5</v>
      </c>
      <c r="P21" s="31" t="n">
        <f aca="false">물고기!F27</f>
        <v>12</v>
      </c>
      <c r="Q21" s="5" t="n">
        <f aca="false">물고기!G27</f>
        <v>8</v>
      </c>
      <c r="R21" s="33" t="n">
        <f aca="false">물고기!I27</f>
        <v>8.5</v>
      </c>
      <c r="S21" s="31" t="n">
        <f aca="false">물고기!T27</f>
        <v>0</v>
      </c>
    </row>
    <row r="22" customFormat="false" ht="15" hidden="false" customHeight="false" outlineLevel="0" collapsed="false">
      <c r="A22" s="4" t="s">
        <v>323</v>
      </c>
      <c r="B22" s="4" t="s">
        <v>219</v>
      </c>
      <c r="C22" s="31" t="str">
        <f aca="false">물고기!B8</f>
        <v>피라미</v>
      </c>
      <c r="D22" s="31" t="str">
        <f aca="false">물고기!C8</f>
        <v>찌낚시</v>
      </c>
      <c r="E22" s="32" t="n">
        <v>20</v>
      </c>
      <c r="F22" s="29" t="n">
        <f aca="false">E22/SUMIF($A$18:$A$74,A22,$E$18:$E$74)</f>
        <v>0.204081632653061</v>
      </c>
      <c r="G22" s="20" t="n">
        <f aca="false">F22*H22</f>
        <v>1.02379702039264</v>
      </c>
      <c r="H22" s="5" t="n">
        <f aca="false">물고기!L8</f>
        <v>5.01660539992395</v>
      </c>
      <c r="I22" s="31" t="str">
        <f aca="false">물고기!O8</f>
        <v>일반</v>
      </c>
      <c r="J22" s="28" t="n">
        <f aca="false">E22*(1+가정!$B$27)^(-물고기!T8)</f>
        <v>20</v>
      </c>
      <c r="K22" s="28" t="n">
        <f aca="false">E22*(1+가정!$B$27)^(물고기!T8)</f>
        <v>20</v>
      </c>
      <c r="M22" s="20" t="n">
        <f aca="false">J22/SUMIF($A$18:$A$74,A22,$J$18:$J$74)*H22</f>
        <v>1.07498687141227</v>
      </c>
      <c r="N22" s="20" t="n">
        <f aca="false">K22/SUMIF($A$18:$A$74,A22,$K$18:$K$74)*H22</f>
        <v>0.961956931912549</v>
      </c>
      <c r="O22" s="31" t="n">
        <f aca="false">물고기!E8</f>
        <v>6</v>
      </c>
      <c r="P22" s="31" t="n">
        <f aca="false">물고기!F8</f>
        <v>15</v>
      </c>
      <c r="Q22" s="5" t="n">
        <f aca="false">물고기!G8</f>
        <v>6</v>
      </c>
      <c r="R22" s="33" t="n">
        <f aca="false">물고기!I8</f>
        <v>10.5</v>
      </c>
      <c r="S22" s="31" t="n">
        <f aca="false">물고기!T8</f>
        <v>0</v>
      </c>
    </row>
    <row r="23" customFormat="false" ht="15" hidden="false" customHeight="false" outlineLevel="0" collapsed="false">
      <c r="A23" s="4" t="s">
        <v>323</v>
      </c>
      <c r="B23" s="4" t="s">
        <v>260</v>
      </c>
      <c r="C23" s="31" t="str">
        <f aca="false">물고기!B28</f>
        <v>갈겨니</v>
      </c>
      <c r="D23" s="31" t="str">
        <f aca="false">물고기!C28</f>
        <v>찌낚시</v>
      </c>
      <c r="E23" s="32" t="n">
        <v>20</v>
      </c>
      <c r="F23" s="29" t="n">
        <f aca="false">E23/SUMIF($A$18:$A$74,A23,$E$18:$E$74)</f>
        <v>0.204081632653061</v>
      </c>
      <c r="G23" s="20" t="n">
        <f aca="false">F23*H23</f>
        <v>2.07050338235923</v>
      </c>
      <c r="H23" s="5" t="n">
        <f aca="false">물고기!L28</f>
        <v>10.1454665735602</v>
      </c>
      <c r="I23" s="31" t="str">
        <f aca="false">물고기!O28</f>
        <v>일반</v>
      </c>
      <c r="J23" s="28" t="n">
        <f aca="false">E23*(1+가정!$B$27)^(-물고기!T28)</f>
        <v>20</v>
      </c>
      <c r="K23" s="28" t="n">
        <f aca="false">E23*(1+가정!$B$27)^(물고기!T28)</f>
        <v>20</v>
      </c>
      <c r="M23" s="20" t="n">
        <f aca="false">J23/SUMIF($A$18:$A$74,A23,$J$18:$J$74)*H23</f>
        <v>2.17402855147719</v>
      </c>
      <c r="N23" s="20" t="n">
        <f aca="false">K23/SUMIF($A$18:$A$74,A23,$K$18:$K$74)*H23</f>
        <v>1.94543941966639</v>
      </c>
      <c r="O23" s="31" t="n">
        <f aca="false">물고기!E28</f>
        <v>8</v>
      </c>
      <c r="P23" s="31" t="n">
        <f aca="false">물고기!F28</f>
        <v>18</v>
      </c>
      <c r="Q23" s="5" t="n">
        <f aca="false">물고기!G28</f>
        <v>12</v>
      </c>
      <c r="R23" s="33" t="n">
        <f aca="false">물고기!I28</f>
        <v>13</v>
      </c>
      <c r="S23" s="31" t="n">
        <f aca="false">물고기!T28</f>
        <v>0</v>
      </c>
    </row>
    <row r="24" customFormat="false" ht="15" hidden="false" customHeight="false" outlineLevel="0" collapsed="false">
      <c r="A24" s="4" t="s">
        <v>323</v>
      </c>
      <c r="B24" s="4" t="s">
        <v>262</v>
      </c>
      <c r="C24" s="31" t="str">
        <f aca="false">물고기!B29</f>
        <v>모래무지</v>
      </c>
      <c r="D24" s="31" t="str">
        <f aca="false">물고기!C29</f>
        <v>찌낚시</v>
      </c>
      <c r="E24" s="32" t="n">
        <v>15</v>
      </c>
      <c r="F24" s="29" t="n">
        <f aca="false">E24/SUMIF($A$18:$A$74,A24,$E$18:$E$74)</f>
        <v>0.153061224489796</v>
      </c>
      <c r="G24" s="20" t="n">
        <f aca="false">F24*H24</f>
        <v>3.19936568872701</v>
      </c>
      <c r="H24" s="5" t="n">
        <f aca="false">물고기!L29</f>
        <v>20.9025224996831</v>
      </c>
      <c r="I24" s="31" t="str">
        <f aca="false">물고기!O29</f>
        <v>일반</v>
      </c>
      <c r="J24" s="28" t="n">
        <f aca="false">E24*(1+가정!$B$27)^(-물고기!T29)</f>
        <v>15</v>
      </c>
      <c r="K24" s="28" t="n">
        <f aca="false">E24*(1+가정!$B$27)^(물고기!T29)</f>
        <v>15</v>
      </c>
      <c r="M24" s="20" t="n">
        <f aca="false">J24/SUMIF($A$18:$A$74,A24,$J$18:$J$74)*H24</f>
        <v>3.35933397316336</v>
      </c>
      <c r="N24" s="20" t="n">
        <f aca="false">K24/SUMIF($A$18:$A$74,A24,$K$18:$K$74)*H24</f>
        <v>3.00611541222672</v>
      </c>
      <c r="O24" s="31" t="n">
        <f aca="false">물고기!E29</f>
        <v>10</v>
      </c>
      <c r="P24" s="31" t="n">
        <f aca="false">물고기!F29</f>
        <v>25</v>
      </c>
      <c r="Q24" s="5" t="n">
        <f aca="false">물고기!G29</f>
        <v>25</v>
      </c>
      <c r="R24" s="33" t="n">
        <f aca="false">물고기!I29</f>
        <v>17.5</v>
      </c>
      <c r="S24" s="31" t="n">
        <f aca="false">물고기!T29</f>
        <v>0</v>
      </c>
    </row>
    <row r="25" customFormat="false" ht="15" hidden="false" customHeight="false" outlineLevel="0" collapsed="false">
      <c r="A25" s="4" t="s">
        <v>323</v>
      </c>
      <c r="B25" s="4" t="s">
        <v>264</v>
      </c>
      <c r="C25" s="31" t="str">
        <f aca="false">물고기!B30</f>
        <v>꺽지</v>
      </c>
      <c r="D25" s="31" t="str">
        <f aca="false">물고기!C30</f>
        <v>릴낚시</v>
      </c>
      <c r="E25" s="32" t="n">
        <v>12</v>
      </c>
      <c r="F25" s="29" t="n">
        <f aca="false">E25/SUMIF($A$18:$A$74,A25,$E$18:$E$74)</f>
        <v>0.122448979591837</v>
      </c>
      <c r="G25" s="20" t="n">
        <f aca="false">F25*H25</f>
        <v>7.16657914274849</v>
      </c>
      <c r="H25" s="5" t="n">
        <f aca="false">물고기!L30</f>
        <v>58.5270629991127</v>
      </c>
      <c r="I25" s="31" t="str">
        <f aca="false">물고기!O30</f>
        <v>고급</v>
      </c>
      <c r="J25" s="28" t="n">
        <f aca="false">E25*(1+가정!$B$27)^(-물고기!T30)</f>
        <v>8.88888888888889</v>
      </c>
      <c r="K25" s="28" t="n">
        <f aca="false">E25*(1+가정!$B$27)^(물고기!T30)</f>
        <v>16.2</v>
      </c>
      <c r="M25" s="20" t="n">
        <f aca="false">J25/SUMIF($A$18:$A$74,A25,$J$18:$J$74)*H25</f>
        <v>5.5740059999155</v>
      </c>
      <c r="N25" s="20" t="n">
        <f aca="false">K25/SUMIF($A$18:$A$74,A25,$K$18:$K$74)*H25</f>
        <v>9.09049300657359</v>
      </c>
      <c r="O25" s="31" t="n">
        <f aca="false">물고기!E30</f>
        <v>10</v>
      </c>
      <c r="P25" s="31" t="n">
        <f aca="false">물고기!F30</f>
        <v>25</v>
      </c>
      <c r="Q25" s="5" t="n">
        <f aca="false">물고기!G30</f>
        <v>70</v>
      </c>
      <c r="R25" s="33" t="n">
        <f aca="false">물고기!I30</f>
        <v>17.5</v>
      </c>
      <c r="S25" s="31" t="n">
        <f aca="false">물고기!T30</f>
        <v>1</v>
      </c>
    </row>
    <row r="26" customFormat="false" ht="15" hidden="false" customHeight="false" outlineLevel="0" collapsed="false">
      <c r="A26" s="4" t="s">
        <v>323</v>
      </c>
      <c r="B26" s="4" t="s">
        <v>266</v>
      </c>
      <c r="C26" s="31" t="str">
        <f aca="false">물고기!B31</f>
        <v>은어</v>
      </c>
      <c r="D26" s="31" t="str">
        <f aca="false">물고기!C31</f>
        <v>릴낚시</v>
      </c>
      <c r="E26" s="32" t="n">
        <v>6</v>
      </c>
      <c r="F26" s="29" t="n">
        <f aca="false">E26/SUMIF($A$18:$A$74,A26,$E$18:$E$74)</f>
        <v>0.0612244897959184</v>
      </c>
      <c r="G26" s="20" t="n">
        <f aca="false">F26*H26</f>
        <v>7.73253897832425</v>
      </c>
      <c r="H26" s="5" t="n">
        <f aca="false">물고기!L31</f>
        <v>126.298136645963</v>
      </c>
      <c r="I26" s="31" t="str">
        <f aca="false">물고기!O31</f>
        <v>희귀</v>
      </c>
      <c r="J26" s="28" t="n">
        <f aca="false">E26*(1+가정!$B$27)^(-물고기!T31)</f>
        <v>4.44444444444445</v>
      </c>
      <c r="K26" s="28" t="n">
        <f aca="false">E26*(1+가정!$B$27)^(물고기!T31)</f>
        <v>8.1</v>
      </c>
      <c r="M26" s="20" t="n">
        <f aca="false">J26/SUMIF($A$18:$A$74,A26,$J$18:$J$74)*H26</f>
        <v>6.01419698314108</v>
      </c>
      <c r="N26" s="20" t="n">
        <f aca="false">K26/SUMIF($A$18:$A$74,A26,$K$18:$K$74)*H26</f>
        <v>9.80838836847841</v>
      </c>
      <c r="O26" s="31" t="n">
        <f aca="false">물고기!E31</f>
        <v>12</v>
      </c>
      <c r="P26" s="31" t="n">
        <f aca="false">물고기!F31</f>
        <v>28</v>
      </c>
      <c r="Q26" s="5" t="n">
        <f aca="false">물고기!G31</f>
        <v>150</v>
      </c>
      <c r="R26" s="33" t="n">
        <f aca="false">물고기!I31</f>
        <v>20</v>
      </c>
      <c r="S26" s="31" t="n">
        <f aca="false">물고기!T31</f>
        <v>1</v>
      </c>
    </row>
    <row r="27" customFormat="false" ht="15" hidden="false" customHeight="false" outlineLevel="0" collapsed="false">
      <c r="A27" s="4" t="s">
        <v>325</v>
      </c>
      <c r="B27" s="4" t="s">
        <v>219</v>
      </c>
      <c r="C27" s="31" t="str">
        <f aca="false">물고기!B8</f>
        <v>피라미</v>
      </c>
      <c r="D27" s="31" t="str">
        <f aca="false">물고기!C8</f>
        <v>찌낚시</v>
      </c>
      <c r="E27" s="32" t="n">
        <v>35</v>
      </c>
      <c r="F27" s="29" t="n">
        <f aca="false">E27/SUMIF($A$18:$A$74,A27,$E$18:$E$74)</f>
        <v>0.35140562248996</v>
      </c>
      <c r="G27" s="20" t="n">
        <f aca="false">F27*H27</f>
        <v>1.76286334334677</v>
      </c>
      <c r="H27" s="5" t="n">
        <f aca="false">물고기!L8</f>
        <v>5.01660539992395</v>
      </c>
      <c r="I27" s="31" t="str">
        <f aca="false">물고기!O8</f>
        <v>일반</v>
      </c>
      <c r="J27" s="28" t="n">
        <f aca="false">E27*(1+가정!$B$27)^(-물고기!T8)</f>
        <v>35</v>
      </c>
      <c r="K27" s="28" t="n">
        <f aca="false">E27*(1+가정!$B$27)^(물고기!T8)</f>
        <v>35</v>
      </c>
      <c r="M27" s="20" t="n">
        <f aca="false">J27/SUMIF($A$18:$A$74,A27,$J$18:$J$74)*H27</f>
        <v>1.96543759758879</v>
      </c>
      <c r="N27" s="20" t="n">
        <f aca="false">K27/SUMIF($A$18:$A$74,A27,$K$18:$K$74)*H27</f>
        <v>1.53354420949566</v>
      </c>
      <c r="O27" s="31" t="n">
        <f aca="false">물고기!E8</f>
        <v>6</v>
      </c>
      <c r="P27" s="31" t="n">
        <f aca="false">물고기!F8</f>
        <v>15</v>
      </c>
      <c r="Q27" s="5" t="n">
        <f aca="false">물고기!G8</f>
        <v>6</v>
      </c>
      <c r="R27" s="33" t="n">
        <f aca="false">물고기!I8</f>
        <v>10.5</v>
      </c>
      <c r="S27" s="31" t="n">
        <f aca="false">물고기!T8</f>
        <v>0</v>
      </c>
    </row>
    <row r="28" customFormat="false" ht="15" hidden="false" customHeight="false" outlineLevel="0" collapsed="false">
      <c r="A28" s="4" t="s">
        <v>325</v>
      </c>
      <c r="B28" s="4" t="s">
        <v>212</v>
      </c>
      <c r="C28" s="31" t="str">
        <f aca="false">물고기!B5</f>
        <v>붕어</v>
      </c>
      <c r="D28" s="31" t="str">
        <f aca="false">물고기!C5</f>
        <v>찌낚시</v>
      </c>
      <c r="E28" s="32" t="n">
        <v>28</v>
      </c>
      <c r="F28" s="29" t="n">
        <f aca="false">E28/SUMIF($A$18:$A$74,A28,$E$18:$E$74)</f>
        <v>0.281124497991968</v>
      </c>
      <c r="G28" s="20" t="n">
        <f aca="false">F28*H28</f>
        <v>2.82058134935483</v>
      </c>
      <c r="H28" s="5" t="n">
        <f aca="false">물고기!L5</f>
        <v>10.0332107998479</v>
      </c>
      <c r="I28" s="31" t="str">
        <f aca="false">물고기!O5</f>
        <v>일반</v>
      </c>
      <c r="J28" s="28" t="n">
        <f aca="false">E28*(1+가정!$B$27)^(-물고기!T5)</f>
        <v>28</v>
      </c>
      <c r="K28" s="28" t="n">
        <f aca="false">E28*(1+가정!$B$27)^(물고기!T5)</f>
        <v>28</v>
      </c>
      <c r="M28" s="20" t="n">
        <f aca="false">J28/SUMIF($A$18:$A$74,A28,$J$18:$J$74)*H28</f>
        <v>3.14470015614207</v>
      </c>
      <c r="N28" s="20" t="n">
        <f aca="false">K28/SUMIF($A$18:$A$74,A28,$K$18:$K$74)*H28</f>
        <v>2.45367073519305</v>
      </c>
      <c r="O28" s="31" t="n">
        <f aca="false">물고기!E5</f>
        <v>12</v>
      </c>
      <c r="P28" s="31" t="n">
        <f aca="false">물고기!F5</f>
        <v>30</v>
      </c>
      <c r="Q28" s="5" t="n">
        <f aca="false">물고기!G5</f>
        <v>12</v>
      </c>
      <c r="R28" s="33" t="n">
        <f aca="false">물고기!I5</f>
        <v>21</v>
      </c>
      <c r="S28" s="31" t="n">
        <f aca="false">물고기!T5</f>
        <v>0</v>
      </c>
    </row>
    <row r="29" customFormat="false" ht="15" hidden="false" customHeight="false" outlineLevel="0" collapsed="false">
      <c r="A29" s="4" t="s">
        <v>325</v>
      </c>
      <c r="B29" s="4" t="s">
        <v>217</v>
      </c>
      <c r="C29" s="31" t="str">
        <f aca="false">물고기!B7</f>
        <v>잉어</v>
      </c>
      <c r="D29" s="31" t="str">
        <f aca="false">물고기!C7</f>
        <v>찌낚시</v>
      </c>
      <c r="E29" s="32" t="n">
        <v>14</v>
      </c>
      <c r="F29" s="29" t="n">
        <f aca="false">E29/SUMIF($A$18:$A$74,A29,$E$18:$E$74)</f>
        <v>0.140562248995984</v>
      </c>
      <c r="G29" s="20" t="n">
        <f aca="false">F29*H29</f>
        <v>7.01158929646001</v>
      </c>
      <c r="H29" s="5" t="n">
        <f aca="false">물고기!L7</f>
        <v>49.882449566244</v>
      </c>
      <c r="I29" s="31" t="str">
        <f aca="false">물고기!O7</f>
        <v>고급</v>
      </c>
      <c r="J29" s="28" t="n">
        <f aca="false">E29*(1+가정!$B$27)^(-물고기!T7)</f>
        <v>10.3703703703704</v>
      </c>
      <c r="K29" s="28" t="n">
        <f aca="false">E29*(1+가정!$B$27)^(물고기!T7)</f>
        <v>18.9</v>
      </c>
      <c r="M29" s="20" t="n">
        <f aca="false">J29/SUMIF($A$18:$A$74,A29,$J$18:$J$74)*H29</f>
        <v>5.7905966298665</v>
      </c>
      <c r="N29" s="20" t="n">
        <f aca="false">K29/SUMIF($A$18:$A$74,A29,$K$18:$K$74)*H29</f>
        <v>8.23432285744928</v>
      </c>
      <c r="O29" s="31" t="n">
        <f aca="false">물고기!E7</f>
        <v>30</v>
      </c>
      <c r="P29" s="31" t="n">
        <f aca="false">물고기!F7</f>
        <v>80</v>
      </c>
      <c r="Q29" s="5" t="n">
        <f aca="false">물고기!G7</f>
        <v>60</v>
      </c>
      <c r="R29" s="33" t="n">
        <f aca="false">물고기!I7</f>
        <v>55</v>
      </c>
      <c r="S29" s="31" t="n">
        <f aca="false">물고기!T7</f>
        <v>1</v>
      </c>
    </row>
    <row r="30" customFormat="false" ht="15" hidden="false" customHeight="false" outlineLevel="0" collapsed="false">
      <c r="A30" s="4" t="s">
        <v>325</v>
      </c>
      <c r="B30" s="4" t="s">
        <v>221</v>
      </c>
      <c r="C30" s="31" t="str">
        <f aca="false">물고기!B9</f>
        <v>메기</v>
      </c>
      <c r="D30" s="31" t="str">
        <f aca="false">물고기!C9</f>
        <v>릴낚시</v>
      </c>
      <c r="E30" s="32" t="n">
        <v>12</v>
      </c>
      <c r="F30" s="29" t="n">
        <f aca="false">E30/SUMIF($A$18:$A$74,A30,$E$18:$E$74)</f>
        <v>0.120481927710843</v>
      </c>
      <c r="G30" s="20" t="n">
        <f aca="false">F30*H30</f>
        <v>6.9539025667889</v>
      </c>
      <c r="H30" s="5" t="n">
        <f aca="false">물고기!L9</f>
        <v>57.7173913043478</v>
      </c>
      <c r="I30" s="31" t="str">
        <f aca="false">물고기!O9</f>
        <v>고급</v>
      </c>
      <c r="J30" s="28" t="n">
        <f aca="false">E30*(1+가정!$B$27)^(-물고기!T9)</f>
        <v>8.88888888888889</v>
      </c>
      <c r="K30" s="28" t="n">
        <f aca="false">E30*(1+가정!$B$27)^(물고기!T9)</f>
        <v>16.2</v>
      </c>
      <c r="M30" s="20" t="n">
        <f aca="false">J30/SUMIF($A$18:$A$74,A30,$J$18:$J$74)*H30</f>
        <v>5.74295542210349</v>
      </c>
      <c r="N30" s="20" t="n">
        <f aca="false">K30/SUMIF($A$18:$A$74,A30,$K$18:$K$74)*H30</f>
        <v>8.16657628293983</v>
      </c>
      <c r="O30" s="31" t="n">
        <f aca="false">물고기!E9</f>
        <v>30</v>
      </c>
      <c r="P30" s="31" t="n">
        <f aca="false">물고기!F9</f>
        <v>90</v>
      </c>
      <c r="Q30" s="5" t="n">
        <f aca="false">물고기!G9</f>
        <v>70</v>
      </c>
      <c r="R30" s="33" t="n">
        <f aca="false">물고기!I9</f>
        <v>60</v>
      </c>
      <c r="S30" s="31" t="n">
        <f aca="false">물고기!T9</f>
        <v>1</v>
      </c>
    </row>
    <row r="31" customFormat="false" ht="15" hidden="false" customHeight="false" outlineLevel="0" collapsed="false">
      <c r="A31" s="4" t="s">
        <v>325</v>
      </c>
      <c r="B31" s="4" t="s">
        <v>224</v>
      </c>
      <c r="C31" s="31" t="str">
        <f aca="false">물고기!B10</f>
        <v>쏘가리</v>
      </c>
      <c r="D31" s="31" t="str">
        <f aca="false">물고기!C10</f>
        <v>릴낚시</v>
      </c>
      <c r="E31" s="32" t="n">
        <v>7</v>
      </c>
      <c r="F31" s="29" t="n">
        <f aca="false">E31/SUMIF($A$18:$A$74,A31,$E$18:$E$74)</f>
        <v>0.070281124497992</v>
      </c>
      <c r="G31" s="20" t="n">
        <f aca="false">F31*H31</f>
        <v>9.32627126864948</v>
      </c>
      <c r="H31" s="5" t="n">
        <f aca="false">물고기!L10</f>
        <v>132.699516908213</v>
      </c>
      <c r="I31" s="31" t="str">
        <f aca="false">물고기!O10</f>
        <v>희귀</v>
      </c>
      <c r="J31" s="28" t="n">
        <f aca="false">E31*(1+가정!$B$27)^(-물고기!T10)</f>
        <v>5.18518518518519</v>
      </c>
      <c r="K31" s="28" t="n">
        <f aca="false">E31*(1+가정!$B$27)^(물고기!T10)</f>
        <v>9.45</v>
      </c>
      <c r="M31" s="20" t="n">
        <f aca="false">J31/SUMIF($A$18:$A$74,A31,$J$18:$J$74)*H31</f>
        <v>7.70220169694312</v>
      </c>
      <c r="N31" s="20" t="n">
        <f aca="false">K31/SUMIF($A$18:$A$74,A31,$K$18:$K$74)*H31</f>
        <v>10.9526564428104</v>
      </c>
      <c r="O31" s="31" t="n">
        <f aca="false">물고기!E10</f>
        <v>20</v>
      </c>
      <c r="P31" s="31" t="n">
        <f aca="false">물고기!F10</f>
        <v>55</v>
      </c>
      <c r="Q31" s="5" t="n">
        <f aca="false">물고기!G10</f>
        <v>160</v>
      </c>
      <c r="R31" s="33" t="n">
        <f aca="false">물고기!I10</f>
        <v>37.5</v>
      </c>
      <c r="S31" s="31" t="n">
        <f aca="false">물고기!T10</f>
        <v>1</v>
      </c>
    </row>
    <row r="32" customFormat="false" ht="15" hidden="false" customHeight="false" outlineLevel="0" collapsed="false">
      <c r="A32" s="4" t="s">
        <v>325</v>
      </c>
      <c r="B32" s="4" t="s">
        <v>226</v>
      </c>
      <c r="C32" s="31" t="str">
        <f aca="false">물고기!B11</f>
        <v>민물장어</v>
      </c>
      <c r="D32" s="31" t="str">
        <f aca="false">물고기!C11</f>
        <v>릴낚시</v>
      </c>
      <c r="E32" s="32" t="n">
        <v>3</v>
      </c>
      <c r="F32" s="29" t="n">
        <f aca="false">E32/SUMIF($A$18:$A$74,A32,$E$18:$E$74)</f>
        <v>0.0301204819277108</v>
      </c>
      <c r="G32" s="20" t="n">
        <f aca="false">F32*H32</f>
        <v>10.0735048191244</v>
      </c>
      <c r="H32" s="5" t="n">
        <f aca="false">물고기!L11</f>
        <v>334.44035999493</v>
      </c>
      <c r="I32" s="31" t="str">
        <f aca="false">물고기!O11</f>
        <v>영웅</v>
      </c>
      <c r="J32" s="28" t="n">
        <f aca="false">E32*(1+가정!$B$27)^(-물고기!T11)</f>
        <v>1.64609053497942</v>
      </c>
      <c r="K32" s="28" t="n">
        <f aca="false">E32*(1+가정!$B$27)^(물고기!T11)</f>
        <v>5.4675</v>
      </c>
      <c r="M32" s="20" t="n">
        <f aca="false">J32/SUMIF($A$18:$A$74,A32,$J$18:$J$74)*H32</f>
        <v>6.16245376473068</v>
      </c>
      <c r="N32" s="20" t="n">
        <f aca="false">K32/SUMIF($A$18:$A$74,A32,$K$18:$K$74)*H32</f>
        <v>15.9707675531762</v>
      </c>
      <c r="O32" s="31" t="n">
        <f aca="false">물고기!E11</f>
        <v>40</v>
      </c>
      <c r="P32" s="31" t="n">
        <f aca="false">물고기!F11</f>
        <v>100</v>
      </c>
      <c r="Q32" s="5" t="n">
        <f aca="false">물고기!G11</f>
        <v>400</v>
      </c>
      <c r="R32" s="33" t="n">
        <f aca="false">물고기!I11</f>
        <v>70</v>
      </c>
      <c r="S32" s="31" t="n">
        <f aca="false">물고기!T11</f>
        <v>2</v>
      </c>
    </row>
    <row r="33" customFormat="false" ht="15" hidden="false" customHeight="false" outlineLevel="0" collapsed="false">
      <c r="A33" s="4" t="s">
        <v>325</v>
      </c>
      <c r="B33" s="4" t="s">
        <v>228</v>
      </c>
      <c r="C33" s="31" t="str">
        <f aca="false">물고기!B12</f>
        <v>철갑상어</v>
      </c>
      <c r="D33" s="31" t="str">
        <f aca="false">물고기!C12</f>
        <v>릴낚시</v>
      </c>
      <c r="E33" s="32" t="n">
        <v>0.6</v>
      </c>
      <c r="F33" s="29" t="n">
        <f aca="false">E33/SUMIF($A$18:$A$74,A33,$E$18:$E$74)</f>
        <v>0.00602409638554217</v>
      </c>
      <c r="G33" s="20" t="n">
        <f aca="false">F33*H33</f>
        <v>9.06615433721195</v>
      </c>
      <c r="H33" s="5" t="n">
        <f aca="false">물고기!L12</f>
        <v>1504.98161997718</v>
      </c>
      <c r="I33" s="31" t="str">
        <f aca="false">물고기!O12</f>
        <v>전설</v>
      </c>
      <c r="J33" s="28" t="n">
        <f aca="false">E33*(1+가정!$B$27)^(-물고기!T12)</f>
        <v>0.243865264441396</v>
      </c>
      <c r="K33" s="28" t="n">
        <f aca="false">E33*(1+가정!$B$27)^(물고기!T12)</f>
        <v>1.476225</v>
      </c>
      <c r="M33" s="20" t="n">
        <f aca="false">J33/SUMIF($A$18:$A$74,A33,$J$18:$J$74)*H33</f>
        <v>4.10830250982045</v>
      </c>
      <c r="N33" s="20" t="n">
        <f aca="false">K33/SUMIF($A$18:$A$74,A33,$K$18:$K$74)*H33</f>
        <v>19.4044825771091</v>
      </c>
      <c r="O33" s="31" t="n">
        <f aca="false">물고기!E12</f>
        <v>80</v>
      </c>
      <c r="P33" s="31" t="n">
        <f aca="false">물고기!F12</f>
        <v>200</v>
      </c>
      <c r="Q33" s="5" t="n">
        <f aca="false">물고기!G12</f>
        <v>1800</v>
      </c>
      <c r="R33" s="33" t="n">
        <f aca="false">물고기!I12</f>
        <v>140</v>
      </c>
      <c r="S33" s="31" t="n">
        <f aca="false">물고기!T12</f>
        <v>3</v>
      </c>
    </row>
    <row r="34" customFormat="false" ht="15" hidden="false" customHeight="false" outlineLevel="0" collapsed="false">
      <c r="A34" s="4" t="s">
        <v>327</v>
      </c>
      <c r="B34" s="4" t="s">
        <v>230</v>
      </c>
      <c r="C34" s="31" t="str">
        <f aca="false">물고기!B13</f>
        <v>망둥어</v>
      </c>
      <c r="D34" s="31" t="str">
        <f aca="false">물고기!C13</f>
        <v>찌낚시</v>
      </c>
      <c r="E34" s="32" t="n">
        <v>30</v>
      </c>
      <c r="F34" s="29" t="n">
        <f aca="false">E34/SUMIF($A$18:$A$74,A34,$E$18:$E$74)</f>
        <v>0.301507537688442</v>
      </c>
      <c r="G34" s="20" t="n">
        <f aca="false">F34*H34</f>
        <v>3.72056886248397</v>
      </c>
      <c r="H34" s="5" t="n">
        <f aca="false">물고기!L13</f>
        <v>12.3398867272385</v>
      </c>
      <c r="I34" s="31" t="str">
        <f aca="false">물고기!O13</f>
        <v>일반</v>
      </c>
      <c r="J34" s="28" t="n">
        <f aca="false">E34*(1+가정!$B$27)^(-물고기!T13)</f>
        <v>30</v>
      </c>
      <c r="K34" s="28" t="n">
        <f aca="false">E34*(1+가정!$B$27)^(물고기!T13)</f>
        <v>30</v>
      </c>
      <c r="M34" s="20" t="n">
        <f aca="false">J34/SUMIF($A$18:$A$74,A34,$J$18:$J$74)*H34</f>
        <v>4.42384125560499</v>
      </c>
      <c r="N34" s="20" t="n">
        <f aca="false">K34/SUMIF($A$18:$A$74,A34,$K$18:$K$74)*H34</f>
        <v>2.96082372613453</v>
      </c>
      <c r="O34" s="31" t="n">
        <f aca="false">물고기!E13</f>
        <v>8</v>
      </c>
      <c r="P34" s="31" t="n">
        <f aca="false">물고기!F13</f>
        <v>25</v>
      </c>
      <c r="Q34" s="5" t="n">
        <f aca="false">물고기!G13</f>
        <v>15</v>
      </c>
      <c r="R34" s="33" t="n">
        <f aca="false">물고기!I13</f>
        <v>16.5</v>
      </c>
      <c r="S34" s="31" t="n">
        <f aca="false">물고기!T13</f>
        <v>0</v>
      </c>
    </row>
    <row r="35" customFormat="false" ht="15" hidden="false" customHeight="false" outlineLevel="0" collapsed="false">
      <c r="A35" s="4" t="s">
        <v>327</v>
      </c>
      <c r="B35" s="4" t="s">
        <v>232</v>
      </c>
      <c r="C35" s="31" t="str">
        <f aca="false">물고기!B14</f>
        <v>전갱이</v>
      </c>
      <c r="D35" s="31" t="str">
        <f aca="false">물고기!C14</f>
        <v>릴낚시</v>
      </c>
      <c r="E35" s="32" t="n">
        <v>22</v>
      </c>
      <c r="F35" s="29" t="n">
        <f aca="false">E35/SUMIF($A$18:$A$74,A35,$E$18:$E$74)</f>
        <v>0.221105527638191</v>
      </c>
      <c r="G35" s="20" t="n">
        <f aca="false">F35*H35</f>
        <v>6.43374977655074</v>
      </c>
      <c r="H35" s="5" t="n">
        <f aca="false">물고기!L14</f>
        <v>29.098095580309</v>
      </c>
      <c r="I35" s="31" t="str">
        <f aca="false">물고기!O14</f>
        <v>고급</v>
      </c>
      <c r="J35" s="28" t="n">
        <f aca="false">E35*(1+가정!$B$27)^(-물고기!T14)</f>
        <v>22</v>
      </c>
      <c r="K35" s="28" t="n">
        <f aca="false">E35*(1+가정!$B$27)^(물고기!T14)</f>
        <v>22</v>
      </c>
      <c r="M35" s="20" t="n">
        <f aca="false">J35/SUMIF($A$18:$A$74,A35,$J$18:$J$74)*H35</f>
        <v>7.64987525879106</v>
      </c>
      <c r="N35" s="20" t="n">
        <f aca="false">K35/SUMIF($A$18:$A$74,A35,$K$18:$K$74)*H35</f>
        <v>5.11996946985851</v>
      </c>
      <c r="O35" s="31" t="n">
        <f aca="false">물고기!E14</f>
        <v>15</v>
      </c>
      <c r="P35" s="31" t="n">
        <f aca="false">물고기!F14</f>
        <v>40</v>
      </c>
      <c r="Q35" s="5" t="n">
        <f aca="false">물고기!G14</f>
        <v>35</v>
      </c>
      <c r="R35" s="33" t="n">
        <f aca="false">물고기!I14</f>
        <v>27.5</v>
      </c>
      <c r="S35" s="31" t="n">
        <f aca="false">물고기!T14</f>
        <v>0</v>
      </c>
    </row>
    <row r="36" customFormat="false" ht="15" hidden="false" customHeight="false" outlineLevel="0" collapsed="false">
      <c r="A36" s="4" t="s">
        <v>327</v>
      </c>
      <c r="B36" s="4" t="s">
        <v>234</v>
      </c>
      <c r="C36" s="31" t="str">
        <f aca="false">물고기!B15</f>
        <v>고등어</v>
      </c>
      <c r="D36" s="31" t="str">
        <f aca="false">물고기!C15</f>
        <v>릴낚시</v>
      </c>
      <c r="E36" s="32" t="n">
        <v>18</v>
      </c>
      <c r="F36" s="29" t="n">
        <f aca="false">E36/SUMIF($A$18:$A$74,A36,$E$18:$E$74)</f>
        <v>0.180904522613065</v>
      </c>
      <c r="G36" s="20" t="n">
        <f aca="false">F36*H36</f>
        <v>9.3186429039608</v>
      </c>
      <c r="H36" s="5" t="n">
        <f aca="false">물고기!L15</f>
        <v>51.5113871635611</v>
      </c>
      <c r="I36" s="31" t="str">
        <f aca="false">물고기!O15</f>
        <v>고급</v>
      </c>
      <c r="J36" s="28" t="n">
        <f aca="false">E36*(1+가정!$B$27)^(-물고기!T15)</f>
        <v>13.3333333333333</v>
      </c>
      <c r="K36" s="28" t="n">
        <f aca="false">E36*(1+가정!$B$27)^(물고기!T15)</f>
        <v>24.3</v>
      </c>
      <c r="M36" s="20" t="n">
        <f aca="false">J36/SUMIF($A$18:$A$74,A36,$J$18:$J$74)*H36</f>
        <v>8.20746592662871</v>
      </c>
      <c r="N36" s="20" t="n">
        <f aca="false">K36/SUMIF($A$18:$A$74,A36,$K$18:$K$74)*H36</f>
        <v>10.0112808105512</v>
      </c>
      <c r="O36" s="31" t="n">
        <f aca="false">물고기!E15</f>
        <v>25</v>
      </c>
      <c r="P36" s="31" t="n">
        <f aca="false">물고기!F15</f>
        <v>50</v>
      </c>
      <c r="Q36" s="5" t="n">
        <f aca="false">물고기!G15</f>
        <v>60</v>
      </c>
      <c r="R36" s="33" t="n">
        <f aca="false">물고기!I15</f>
        <v>37.5</v>
      </c>
      <c r="S36" s="31" t="n">
        <f aca="false">물고기!T15</f>
        <v>1</v>
      </c>
    </row>
    <row r="37" customFormat="false" ht="15" hidden="false" customHeight="false" outlineLevel="0" collapsed="false">
      <c r="A37" s="4" t="s">
        <v>327</v>
      </c>
      <c r="B37" s="4" t="s">
        <v>236</v>
      </c>
      <c r="C37" s="31" t="str">
        <f aca="false">물고기!B16</f>
        <v>우럭</v>
      </c>
      <c r="D37" s="31" t="str">
        <f aca="false">물고기!C16</f>
        <v>찌낚시</v>
      </c>
      <c r="E37" s="32" t="n">
        <v>12</v>
      </c>
      <c r="F37" s="29" t="n">
        <f aca="false">E37/SUMIF($A$18:$A$74,A37,$E$18:$E$74)</f>
        <v>0.120603015075377</v>
      </c>
      <c r="G37" s="20" t="n">
        <f aca="false">F37*H37</f>
        <v>15.1254434168561</v>
      </c>
      <c r="H37" s="5" t="n">
        <f aca="false">물고기!L16</f>
        <v>125.415134998099</v>
      </c>
      <c r="I37" s="31" t="str">
        <f aca="false">물고기!O16</f>
        <v>희귀</v>
      </c>
      <c r="J37" s="28" t="n">
        <f aca="false">E37*(1+가정!$B$27)^(-물고기!T16)</f>
        <v>8.88888888888889</v>
      </c>
      <c r="K37" s="28" t="n">
        <f aca="false">E37*(1+가정!$B$27)^(물고기!T16)</f>
        <v>16.2</v>
      </c>
      <c r="M37" s="20" t="n">
        <f aca="false">J37/SUMIF($A$18:$A$74,A37,$J$18:$J$74)*H37</f>
        <v>13.3218498389108</v>
      </c>
      <c r="N37" s="20" t="n">
        <f aca="false">K37/SUMIF($A$18:$A$74,A37,$K$18:$K$74)*H37</f>
        <v>16.2496903241016</v>
      </c>
      <c r="O37" s="31" t="n">
        <f aca="false">물고기!E16</f>
        <v>20</v>
      </c>
      <c r="P37" s="31" t="n">
        <f aca="false">물고기!F16</f>
        <v>50</v>
      </c>
      <c r="Q37" s="5" t="n">
        <f aca="false">물고기!G16</f>
        <v>150</v>
      </c>
      <c r="R37" s="33" t="n">
        <f aca="false">물고기!I16</f>
        <v>35</v>
      </c>
      <c r="S37" s="31" t="n">
        <f aca="false">물고기!T16</f>
        <v>1</v>
      </c>
    </row>
    <row r="38" customFormat="false" ht="15" hidden="false" customHeight="false" outlineLevel="0" collapsed="false">
      <c r="A38" s="4" t="s">
        <v>327</v>
      </c>
      <c r="B38" s="4" t="s">
        <v>238</v>
      </c>
      <c r="C38" s="31" t="str">
        <f aca="false">물고기!B17</f>
        <v>감성돔</v>
      </c>
      <c r="D38" s="31" t="str">
        <f aca="false">물고기!C17</f>
        <v>찌낚시</v>
      </c>
      <c r="E38" s="32" t="n">
        <v>8</v>
      </c>
      <c r="F38" s="29" t="n">
        <f aca="false">E38/SUMIF($A$18:$A$74,A38,$E$18:$E$74)</f>
        <v>0.0804020100502513</v>
      </c>
      <c r="G38" s="20" t="n">
        <f aca="false">F38*H38</f>
        <v>30.3730174870138</v>
      </c>
      <c r="H38" s="5" t="n">
        <f aca="false">물고기!L17</f>
        <v>377.764404994735</v>
      </c>
      <c r="I38" s="31" t="str">
        <f aca="false">물고기!O17</f>
        <v>영웅</v>
      </c>
      <c r="J38" s="28" t="n">
        <f aca="false">E38*(1+가정!$B$27)^(-물고기!T17)</f>
        <v>4.38957475994513</v>
      </c>
      <c r="K38" s="28" t="n">
        <f aca="false">E38*(1+가정!$B$27)^(물고기!T17)</f>
        <v>14.58</v>
      </c>
      <c r="M38" s="20" t="n">
        <f aca="false">J38/SUMIF($A$18:$A$74,A38,$J$18:$J$74)*H38</f>
        <v>19.8157534694248</v>
      </c>
      <c r="N38" s="20" t="n">
        <f aca="false">K38/SUMIF($A$18:$A$74,A38,$K$18:$K$74)*H38</f>
        <v>44.051295220895</v>
      </c>
      <c r="O38" s="31" t="n">
        <f aca="false">물고기!E17</f>
        <v>25</v>
      </c>
      <c r="P38" s="31" t="n">
        <f aca="false">물고기!F17</f>
        <v>60</v>
      </c>
      <c r="Q38" s="5" t="n">
        <f aca="false">물고기!G17</f>
        <v>450</v>
      </c>
      <c r="R38" s="33" t="n">
        <f aca="false">물고기!I17</f>
        <v>42.5</v>
      </c>
      <c r="S38" s="31" t="n">
        <f aca="false">물고기!T17</f>
        <v>2</v>
      </c>
    </row>
    <row r="39" customFormat="false" ht="15" hidden="false" customHeight="false" outlineLevel="0" collapsed="false">
      <c r="A39" s="4" t="s">
        <v>327</v>
      </c>
      <c r="B39" s="4" t="s">
        <v>240</v>
      </c>
      <c r="C39" s="31" t="str">
        <f aca="false">물고기!B18</f>
        <v>농어</v>
      </c>
      <c r="D39" s="31" t="str">
        <f aca="false">물고기!C18</f>
        <v>릴낚시</v>
      </c>
      <c r="E39" s="32" t="n">
        <v>5</v>
      </c>
      <c r="F39" s="29" t="n">
        <f aca="false">E39/SUMIF($A$18:$A$74,A39,$E$18:$E$74)</f>
        <v>0.050251256281407</v>
      </c>
      <c r="G39" s="20" t="n">
        <f aca="false">F39*H39</f>
        <v>27.3098283915458</v>
      </c>
      <c r="H39" s="5" t="n">
        <f aca="false">물고기!L18</f>
        <v>543.465584991761</v>
      </c>
      <c r="I39" s="31" t="str">
        <f aca="false">물고기!O18</f>
        <v>영웅</v>
      </c>
      <c r="J39" s="28" t="n">
        <f aca="false">E39*(1+가정!$B$27)^(-물고기!T18)</f>
        <v>2.74348422496571</v>
      </c>
      <c r="K39" s="28" t="n">
        <f aca="false">E39*(1+가정!$B$27)^(물고기!T18)</f>
        <v>9.1125</v>
      </c>
      <c r="M39" s="20" t="n">
        <f aca="false">J39/SUMIF($A$18:$A$74,A39,$J$18:$J$74)*H39</f>
        <v>17.8172888792016</v>
      </c>
      <c r="N39" s="20" t="n">
        <f aca="false">K39/SUMIF($A$18:$A$74,A39,$K$18:$K$74)*H39</f>
        <v>39.6086201649976</v>
      </c>
      <c r="O39" s="31" t="n">
        <f aca="false">물고기!E18</f>
        <v>40</v>
      </c>
      <c r="P39" s="31" t="n">
        <f aca="false">물고기!F18</f>
        <v>100</v>
      </c>
      <c r="Q39" s="5" t="n">
        <f aca="false">물고기!G18</f>
        <v>650</v>
      </c>
      <c r="R39" s="33" t="n">
        <f aca="false">물고기!I18</f>
        <v>70</v>
      </c>
      <c r="S39" s="31" t="n">
        <f aca="false">물고기!T18</f>
        <v>2</v>
      </c>
    </row>
    <row r="40" customFormat="false" ht="15" hidden="false" customHeight="false" outlineLevel="0" collapsed="false">
      <c r="A40" s="4" t="s">
        <v>327</v>
      </c>
      <c r="B40" s="4" t="s">
        <v>242</v>
      </c>
      <c r="C40" s="31" t="str">
        <f aca="false">물고기!B19</f>
        <v>벵에돔</v>
      </c>
      <c r="D40" s="31" t="str">
        <f aca="false">물고기!C19</f>
        <v>찌낚시</v>
      </c>
      <c r="E40" s="32" t="n">
        <v>3.5</v>
      </c>
      <c r="F40" s="29" t="n">
        <f aca="false">E40/SUMIF($A$18:$A$74,A40,$E$18:$E$74)</f>
        <v>0.0351758793969849</v>
      </c>
      <c r="G40" s="20" t="n">
        <f aca="false">F40*H40</f>
        <v>16.4007879069259</v>
      </c>
      <c r="H40" s="5" t="n">
        <f aca="false">물고기!L19</f>
        <v>466.250970496894</v>
      </c>
      <c r="I40" s="31" t="str">
        <f aca="false">물고기!O19</f>
        <v>영웅</v>
      </c>
      <c r="J40" s="28" t="n">
        <f aca="false">E40*(1+가정!$B$27)^(-물고기!T19)</f>
        <v>1.92043895747599</v>
      </c>
      <c r="K40" s="28" t="n">
        <f aca="false">E40*(1+가정!$B$27)^(물고기!T19)</f>
        <v>6.37875</v>
      </c>
      <c r="M40" s="20" t="n">
        <f aca="false">J40/SUMIF($A$18:$A$74,A40,$J$18:$J$74)*H40</f>
        <v>10.7000883269804</v>
      </c>
      <c r="N40" s="20" t="n">
        <f aca="false">K40/SUMIF($A$18:$A$74,A40,$K$18:$K$74)*H40</f>
        <v>23.7867689719066</v>
      </c>
      <c r="O40" s="31" t="n">
        <f aca="false">물고기!E19</f>
        <v>25</v>
      </c>
      <c r="P40" s="31" t="n">
        <f aca="false">물고기!F19</f>
        <v>55</v>
      </c>
      <c r="Q40" s="5" t="n">
        <f aca="false">물고기!G19</f>
        <v>550</v>
      </c>
      <c r="R40" s="33" t="n">
        <f aca="false">물고기!I19</f>
        <v>40</v>
      </c>
      <c r="S40" s="31" t="n">
        <f aca="false">물고기!T19</f>
        <v>2</v>
      </c>
    </row>
    <row r="41" customFormat="false" ht="15" hidden="false" customHeight="false" outlineLevel="0" collapsed="false">
      <c r="A41" s="4" t="s">
        <v>327</v>
      </c>
      <c r="B41" s="4" t="s">
        <v>244</v>
      </c>
      <c r="C41" s="31" t="str">
        <f aca="false">물고기!B20</f>
        <v>돌돔</v>
      </c>
      <c r="D41" s="31" t="str">
        <f aca="false">물고기!C20</f>
        <v>찌낚시</v>
      </c>
      <c r="E41" s="32" t="n">
        <v>1</v>
      </c>
      <c r="F41" s="29" t="n">
        <f aca="false">E41/SUMIF($A$18:$A$74,A41,$E$18:$E$74)</f>
        <v>0.0100502512562814</v>
      </c>
      <c r="G41" s="20" t="n">
        <f aca="false">F41*H41</f>
        <v>13.5394987359156</v>
      </c>
      <c r="H41" s="5" t="n">
        <f aca="false">물고기!L20</f>
        <v>1347.1801242236</v>
      </c>
      <c r="I41" s="31" t="str">
        <f aca="false">물고기!O20</f>
        <v>전설</v>
      </c>
      <c r="J41" s="28" t="n">
        <f aca="false">E41*(1+가정!$B$27)^(-물고기!T20)</f>
        <v>0.406442107402327</v>
      </c>
      <c r="K41" s="28" t="n">
        <f aca="false">E41*(1+가정!$B$27)^(물고기!T20)</f>
        <v>2.460375</v>
      </c>
      <c r="M41" s="20" t="n">
        <f aca="false">J41/SUMIF($A$18:$A$74,A41,$J$18:$J$74)*H41</f>
        <v>6.54321917447758</v>
      </c>
      <c r="N41" s="20" t="n">
        <f aca="false">K41/SUMIF($A$18:$A$74,A41,$K$18:$K$74)*H41</f>
        <v>26.5098393957261</v>
      </c>
      <c r="O41" s="31" t="n">
        <f aca="false">물고기!E20</f>
        <v>30</v>
      </c>
      <c r="P41" s="31" t="n">
        <f aca="false">물고기!F20</f>
        <v>70</v>
      </c>
      <c r="Q41" s="5" t="n">
        <f aca="false">물고기!G20</f>
        <v>1600</v>
      </c>
      <c r="R41" s="33" t="n">
        <f aca="false">물고기!I20</f>
        <v>50</v>
      </c>
      <c r="S41" s="31" t="n">
        <f aca="false">물고기!T20</f>
        <v>3</v>
      </c>
    </row>
    <row r="42" customFormat="false" ht="15" hidden="false" customHeight="false" outlineLevel="0" collapsed="false">
      <c r="A42" s="4" t="s">
        <v>329</v>
      </c>
      <c r="B42" s="4" t="s">
        <v>268</v>
      </c>
      <c r="C42" s="31" t="str">
        <f aca="false">물고기!B32</f>
        <v>볼락</v>
      </c>
      <c r="D42" s="31" t="str">
        <f aca="false">물고기!C32</f>
        <v>찌낚시</v>
      </c>
      <c r="E42" s="32" t="n">
        <v>30</v>
      </c>
      <c r="F42" s="29" t="n">
        <f aca="false">E42/SUMIF($A$18:$A$74,A42,$E$18:$E$74)</f>
        <v>0.3125</v>
      </c>
      <c r="G42" s="20" t="n">
        <f aca="false">F42*H42</f>
        <v>32.1946169772257</v>
      </c>
      <c r="H42" s="5" t="n">
        <f aca="false">물고기!L32</f>
        <v>103.022774327122</v>
      </c>
      <c r="I42" s="31" t="str">
        <f aca="false">물고기!O32</f>
        <v>희귀</v>
      </c>
      <c r="J42" s="28" t="n">
        <f aca="false">E42*(1+가정!$B$27)^(-물고기!T32)</f>
        <v>22.2222222222222</v>
      </c>
      <c r="K42" s="28" t="n">
        <f aca="false">E42*(1+가정!$B$27)^(물고기!T32)</f>
        <v>40.5</v>
      </c>
      <c r="M42" s="20" t="n">
        <f aca="false">J42/SUMIF($A$18:$A$74,A42,$J$18:$J$74)*H42</f>
        <v>35.2593554801046</v>
      </c>
      <c r="N42" s="20" t="n">
        <f aca="false">K42/SUMIF($A$18:$A$74,A42,$K$18:$K$74)*H42</f>
        <v>28.4181158063919</v>
      </c>
      <c r="O42" s="31" t="n">
        <f aca="false">물고기!E32</f>
        <v>15</v>
      </c>
      <c r="P42" s="31" t="n">
        <f aca="false">물고기!F32</f>
        <v>30</v>
      </c>
      <c r="Q42" s="5" t="n">
        <f aca="false">물고기!G32</f>
        <v>120</v>
      </c>
      <c r="R42" s="33" t="n">
        <f aca="false">물고기!I32</f>
        <v>22.5</v>
      </c>
      <c r="S42" s="31" t="n">
        <f aca="false">물고기!T32</f>
        <v>1</v>
      </c>
    </row>
    <row r="43" customFormat="false" ht="15" hidden="false" customHeight="false" outlineLevel="0" collapsed="false">
      <c r="A43" s="4" t="s">
        <v>329</v>
      </c>
      <c r="B43" s="4" t="s">
        <v>270</v>
      </c>
      <c r="C43" s="31" t="str">
        <f aca="false">물고기!B33</f>
        <v>쥐노래미</v>
      </c>
      <c r="D43" s="31" t="str">
        <f aca="false">물고기!C33</f>
        <v>찌낚시</v>
      </c>
      <c r="E43" s="32" t="n">
        <v>24</v>
      </c>
      <c r="F43" s="29" t="n">
        <f aca="false">E43/SUMIF($A$18:$A$74,A43,$E$18:$E$74)</f>
        <v>0.25</v>
      </c>
      <c r="G43" s="20" t="n">
        <f aca="false">F43*H43</f>
        <v>38.0454996508508</v>
      </c>
      <c r="H43" s="5" t="n">
        <f aca="false">물고기!L33</f>
        <v>152.181998603403</v>
      </c>
      <c r="I43" s="31" t="str">
        <f aca="false">물고기!O33</f>
        <v>희귀</v>
      </c>
      <c r="J43" s="28" t="n">
        <f aca="false">E43*(1+가정!$B$27)^(-물고기!T33)</f>
        <v>17.7777777777778</v>
      </c>
      <c r="K43" s="28" t="n">
        <f aca="false">E43*(1+가정!$B$27)^(물고기!T33)</f>
        <v>32.4</v>
      </c>
      <c r="M43" s="20" t="n">
        <f aca="false">J43/SUMIF($A$18:$A$74,A43,$J$18:$J$74)*H43</f>
        <v>41.6672078303179</v>
      </c>
      <c r="N43" s="20" t="n">
        <f aca="false">K43/SUMIF($A$18:$A$74,A43,$K$18:$K$74)*H43</f>
        <v>33.5826767485615</v>
      </c>
      <c r="O43" s="31" t="n">
        <f aca="false">물고기!E33</f>
        <v>20</v>
      </c>
      <c r="P43" s="31" t="n">
        <f aca="false">물고기!F33</f>
        <v>45</v>
      </c>
      <c r="Q43" s="5" t="n">
        <f aca="false">물고기!G33</f>
        <v>180</v>
      </c>
      <c r="R43" s="33" t="n">
        <f aca="false">물고기!I33</f>
        <v>32.5</v>
      </c>
      <c r="S43" s="31" t="n">
        <f aca="false">물고기!T33</f>
        <v>1</v>
      </c>
    </row>
    <row r="44" customFormat="false" ht="15" hidden="false" customHeight="false" outlineLevel="0" collapsed="false">
      <c r="A44" s="4" t="s">
        <v>329</v>
      </c>
      <c r="B44" s="4" t="s">
        <v>236</v>
      </c>
      <c r="C44" s="31" t="str">
        <f aca="false">물고기!B16</f>
        <v>우럭</v>
      </c>
      <c r="D44" s="31" t="str">
        <f aca="false">물고기!C16</f>
        <v>찌낚시</v>
      </c>
      <c r="E44" s="32" t="n">
        <v>15</v>
      </c>
      <c r="F44" s="29" t="n">
        <f aca="false">E44/SUMIF($A$18:$A$74,A44,$E$18:$E$74)</f>
        <v>0.15625</v>
      </c>
      <c r="G44" s="20" t="n">
        <f aca="false">F44*H44</f>
        <v>19.5961148434529</v>
      </c>
      <c r="H44" s="5" t="n">
        <f aca="false">물고기!L16</f>
        <v>125.415134998099</v>
      </c>
      <c r="I44" s="31" t="str">
        <f aca="false">물고기!O16</f>
        <v>희귀</v>
      </c>
      <c r="J44" s="28" t="n">
        <f aca="false">E44*(1+가정!$B$27)^(-물고기!T16)</f>
        <v>11.1111111111111</v>
      </c>
      <c r="K44" s="28" t="n">
        <f aca="false">E44*(1+가정!$B$27)^(물고기!T16)</f>
        <v>20.25</v>
      </c>
      <c r="M44" s="20" t="n">
        <f aca="false">J44/SUMIF($A$18:$A$74,A44,$J$18:$J$74)*H44</f>
        <v>21.4615499163426</v>
      </c>
      <c r="N44" s="20" t="n">
        <f aca="false">K44/SUMIF($A$18:$A$74,A44,$K$18:$K$74)*H44</f>
        <v>17.2974463827458</v>
      </c>
      <c r="O44" s="31" t="n">
        <f aca="false">물고기!E16</f>
        <v>20</v>
      </c>
      <c r="P44" s="31" t="n">
        <f aca="false">물고기!F16</f>
        <v>50</v>
      </c>
      <c r="Q44" s="5" t="n">
        <f aca="false">물고기!G16</f>
        <v>150</v>
      </c>
      <c r="R44" s="33" t="n">
        <f aca="false">물고기!I16</f>
        <v>35</v>
      </c>
      <c r="S44" s="31" t="n">
        <f aca="false">물고기!T16</f>
        <v>1</v>
      </c>
    </row>
    <row r="45" customFormat="false" ht="15" hidden="false" customHeight="false" outlineLevel="0" collapsed="false">
      <c r="A45" s="4" t="s">
        <v>329</v>
      </c>
      <c r="B45" s="4" t="s">
        <v>238</v>
      </c>
      <c r="C45" s="31" t="str">
        <f aca="false">물고기!B17</f>
        <v>감성돔</v>
      </c>
      <c r="D45" s="31" t="str">
        <f aca="false">물고기!C17</f>
        <v>찌낚시</v>
      </c>
      <c r="E45" s="32" t="n">
        <v>12</v>
      </c>
      <c r="F45" s="29" t="n">
        <f aca="false">E45/SUMIF($A$18:$A$74,A45,$E$18:$E$74)</f>
        <v>0.125</v>
      </c>
      <c r="G45" s="20" t="n">
        <f aca="false">F45*H45</f>
        <v>47.2205506243418</v>
      </c>
      <c r="H45" s="5" t="n">
        <f aca="false">물고기!L17</f>
        <v>377.764404994735</v>
      </c>
      <c r="I45" s="31" t="str">
        <f aca="false">물고기!O17</f>
        <v>영웅</v>
      </c>
      <c r="J45" s="28" t="n">
        <f aca="false">E45*(1+가정!$B$27)^(-물고기!T17)</f>
        <v>6.58436213991769</v>
      </c>
      <c r="K45" s="28" t="n">
        <f aca="false">E45*(1+가정!$B$27)^(물고기!T17)</f>
        <v>21.87</v>
      </c>
      <c r="M45" s="20" t="n">
        <f aca="false">J45/SUMIF($A$18:$A$74,A45,$J$18:$J$74)*H45</f>
        <v>38.3079035440115</v>
      </c>
      <c r="N45" s="20" t="n">
        <f aca="false">K45/SUMIF($A$18:$A$74,A45,$K$18:$K$74)*H45</f>
        <v>56.2699892965055</v>
      </c>
      <c r="O45" s="31" t="n">
        <f aca="false">물고기!E17</f>
        <v>25</v>
      </c>
      <c r="P45" s="31" t="n">
        <f aca="false">물고기!F17</f>
        <v>60</v>
      </c>
      <c r="Q45" s="5" t="n">
        <f aca="false">물고기!G17</f>
        <v>450</v>
      </c>
      <c r="R45" s="33" t="n">
        <f aca="false">물고기!I17</f>
        <v>42.5</v>
      </c>
      <c r="S45" s="31" t="n">
        <f aca="false">물고기!T17</f>
        <v>2</v>
      </c>
    </row>
    <row r="46" customFormat="false" ht="15" hidden="false" customHeight="false" outlineLevel="0" collapsed="false">
      <c r="A46" s="4" t="s">
        <v>329</v>
      </c>
      <c r="B46" s="4" t="s">
        <v>242</v>
      </c>
      <c r="C46" s="31" t="str">
        <f aca="false">물고기!B19</f>
        <v>벵에돔</v>
      </c>
      <c r="D46" s="31" t="str">
        <f aca="false">물고기!C19</f>
        <v>찌낚시</v>
      </c>
      <c r="E46" s="32" t="n">
        <v>8</v>
      </c>
      <c r="F46" s="29" t="n">
        <f aca="false">E46/SUMIF($A$18:$A$74,A46,$E$18:$E$74)</f>
        <v>0.0833333333333333</v>
      </c>
      <c r="G46" s="20" t="n">
        <f aca="false">F46*H46</f>
        <v>38.8542475414079</v>
      </c>
      <c r="H46" s="5" t="n">
        <f aca="false">물고기!L19</f>
        <v>466.250970496894</v>
      </c>
      <c r="I46" s="31" t="str">
        <f aca="false">물고기!O19</f>
        <v>영웅</v>
      </c>
      <c r="J46" s="28" t="n">
        <f aca="false">E46*(1+가정!$B$27)^(-물고기!T19)</f>
        <v>4.38957475994513</v>
      </c>
      <c r="K46" s="28" t="n">
        <f aca="false">E46*(1+가정!$B$27)^(물고기!T19)</f>
        <v>14.58</v>
      </c>
      <c r="M46" s="20" t="n">
        <f aca="false">J46/SUMIF($A$18:$A$74,A46,$J$18:$J$74)*H46</f>
        <v>31.5206990899451</v>
      </c>
      <c r="N46" s="20" t="n">
        <f aca="false">K46/SUMIF($A$18:$A$74,A46,$K$18:$K$74)*H46</f>
        <v>46.3003515285517</v>
      </c>
      <c r="O46" s="31" t="n">
        <f aca="false">물고기!E19</f>
        <v>25</v>
      </c>
      <c r="P46" s="31" t="n">
        <f aca="false">물고기!F19</f>
        <v>55</v>
      </c>
      <c r="Q46" s="5" t="n">
        <f aca="false">물고기!G19</f>
        <v>550</v>
      </c>
      <c r="R46" s="33" t="n">
        <f aca="false">물고기!I19</f>
        <v>40</v>
      </c>
      <c r="S46" s="31" t="n">
        <f aca="false">물고기!T19</f>
        <v>2</v>
      </c>
    </row>
    <row r="47" customFormat="false" ht="15" hidden="false" customHeight="false" outlineLevel="0" collapsed="false">
      <c r="A47" s="4" t="s">
        <v>329</v>
      </c>
      <c r="B47" s="4" t="s">
        <v>252</v>
      </c>
      <c r="C47" s="31" t="str">
        <f aca="false">물고기!B24</f>
        <v>방어</v>
      </c>
      <c r="D47" s="31" t="str">
        <f aca="false">물고기!C24</f>
        <v>릴낚시</v>
      </c>
      <c r="E47" s="32" t="n">
        <v>5</v>
      </c>
      <c r="F47" s="29" t="n">
        <f aca="false">E47/SUMIF($A$18:$A$74,A47,$E$18:$E$74)</f>
        <v>0.0520833333333333</v>
      </c>
      <c r="G47" s="20" t="n">
        <f aca="false">F47*H47</f>
        <v>61.813575634058</v>
      </c>
      <c r="H47" s="5" t="n">
        <f aca="false">물고기!L24</f>
        <v>1186.82065217391</v>
      </c>
      <c r="I47" s="31" t="str">
        <f aca="false">물고기!O24</f>
        <v>전설</v>
      </c>
      <c r="J47" s="28" t="n">
        <f aca="false">E47*(1+가정!$B$27)^(-물고기!T24)</f>
        <v>2.03221053701163</v>
      </c>
      <c r="K47" s="28" t="n">
        <f aca="false">E47*(1+가정!$B$27)^(물고기!T24)</f>
        <v>12.301875</v>
      </c>
      <c r="M47" s="20" t="n">
        <f aca="false">J47/SUMIF($A$18:$A$74,A47,$J$18:$J$74)*H47</f>
        <v>37.1456049881508</v>
      </c>
      <c r="N47" s="20" t="n">
        <f aca="false">K47/SUMIF($A$18:$A$74,A47,$K$18:$K$74)*H47</f>
        <v>99.4405277147303</v>
      </c>
      <c r="O47" s="31" t="n">
        <f aca="false">물고기!E24</f>
        <v>50</v>
      </c>
      <c r="P47" s="31" t="n">
        <f aca="false">물고기!F24</f>
        <v>110</v>
      </c>
      <c r="Q47" s="5" t="n">
        <f aca="false">물고기!G24</f>
        <v>1400</v>
      </c>
      <c r="R47" s="33" t="n">
        <f aca="false">물고기!I24</f>
        <v>80</v>
      </c>
      <c r="S47" s="31" t="n">
        <f aca="false">물고기!T24</f>
        <v>3</v>
      </c>
    </row>
    <row r="48" customFormat="false" ht="15" hidden="false" customHeight="false" outlineLevel="0" collapsed="false">
      <c r="A48" s="4" t="s">
        <v>329</v>
      </c>
      <c r="B48" s="4" t="s">
        <v>272</v>
      </c>
      <c r="C48" s="31" t="str">
        <f aca="false">물고기!B34</f>
        <v>혹돔</v>
      </c>
      <c r="D48" s="31" t="str">
        <f aca="false">물고기!C34</f>
        <v>릴낚시</v>
      </c>
      <c r="E48" s="32" t="n">
        <v>2</v>
      </c>
      <c r="F48" s="29" t="n">
        <f aca="false">E48/SUMIF($A$18:$A$74,A48,$E$18:$E$74)</f>
        <v>0.0208333333333333</v>
      </c>
      <c r="G48" s="20" t="n">
        <f aca="false">F48*H48</f>
        <v>31.7045830423757</v>
      </c>
      <c r="H48" s="5" t="n">
        <f aca="false">물고기!L34</f>
        <v>1521.81998603403</v>
      </c>
      <c r="I48" s="31" t="str">
        <f aca="false">물고기!O34</f>
        <v>전설</v>
      </c>
      <c r="J48" s="28" t="n">
        <f aca="false">E48*(1+가정!$B$27)^(-물고기!T34)</f>
        <v>0.812884214804654</v>
      </c>
      <c r="K48" s="28" t="n">
        <f aca="false">E48*(1+가정!$B$27)^(물고기!T34)</f>
        <v>4.92075</v>
      </c>
      <c r="M48" s="20" t="n">
        <f aca="false">J48/SUMIF($A$18:$A$74,A48,$J$18:$J$74)*H48</f>
        <v>19.0522212301408</v>
      </c>
      <c r="N48" s="20" t="n">
        <f aca="false">K48/SUMIF($A$18:$A$74,A48,$K$18:$K$74)*H48</f>
        <v>51.0036903118778</v>
      </c>
      <c r="O48" s="31" t="n">
        <f aca="false">물고기!E34</f>
        <v>40</v>
      </c>
      <c r="P48" s="31" t="n">
        <f aca="false">물고기!F34</f>
        <v>90</v>
      </c>
      <c r="Q48" s="5" t="n">
        <f aca="false">물고기!G34</f>
        <v>1800</v>
      </c>
      <c r="R48" s="33" t="n">
        <f aca="false">물고기!I34</f>
        <v>65</v>
      </c>
      <c r="S48" s="31" t="n">
        <f aca="false">물고기!T34</f>
        <v>3</v>
      </c>
    </row>
    <row r="49" customFormat="false" ht="15" hidden="false" customHeight="false" outlineLevel="0" collapsed="false">
      <c r="A49" s="4" t="s">
        <v>331</v>
      </c>
      <c r="B49" s="4" t="s">
        <v>246</v>
      </c>
      <c r="C49" s="31" t="str">
        <f aca="false">물고기!B21</f>
        <v>갈치</v>
      </c>
      <c r="D49" s="31" t="str">
        <f aca="false">물고기!C21</f>
        <v>릴낚시</v>
      </c>
      <c r="E49" s="32" t="n">
        <v>30</v>
      </c>
      <c r="F49" s="29" t="n">
        <f aca="false">E49/SUMIF($A$18:$A$74,A49,$E$18:$E$74)</f>
        <v>0.315789473684211</v>
      </c>
      <c r="G49" s="20" t="n">
        <f aca="false">F49*H49</f>
        <v>47.5257353677005</v>
      </c>
      <c r="H49" s="5" t="n">
        <f aca="false">물고기!L21</f>
        <v>150.498161997718</v>
      </c>
      <c r="I49" s="31" t="str">
        <f aca="false">물고기!O21</f>
        <v>희귀</v>
      </c>
      <c r="J49" s="28" t="n">
        <f aca="false">E49*(1+가정!$B$27)^(-물고기!T21)</f>
        <v>22.2222222222222</v>
      </c>
      <c r="K49" s="28" t="n">
        <f aca="false">E49*(1+가정!$B$27)^(물고기!T21)</f>
        <v>40.5</v>
      </c>
      <c r="M49" s="20" t="n">
        <f aca="false">J49/SUMIF($A$18:$A$74,A49,$J$18:$J$74)*H49</f>
        <v>64.5085762139014</v>
      </c>
      <c r="N49" s="20" t="n">
        <f aca="false">K49/SUMIF($A$18:$A$74,A49,$K$18:$K$74)*H49</f>
        <v>32.6228464589079</v>
      </c>
      <c r="O49" s="31" t="n">
        <f aca="false">물고기!E21</f>
        <v>60</v>
      </c>
      <c r="P49" s="31" t="n">
        <f aca="false">물고기!F21</f>
        <v>150</v>
      </c>
      <c r="Q49" s="5" t="n">
        <f aca="false">물고기!G21</f>
        <v>180</v>
      </c>
      <c r="R49" s="33" t="n">
        <f aca="false">물고기!I21</f>
        <v>105</v>
      </c>
      <c r="S49" s="31" t="n">
        <f aca="false">물고기!T21</f>
        <v>1</v>
      </c>
    </row>
    <row r="50" customFormat="false" ht="15" hidden="false" customHeight="false" outlineLevel="0" collapsed="false">
      <c r="A50" s="4" t="s">
        <v>331</v>
      </c>
      <c r="B50" s="4" t="s">
        <v>248</v>
      </c>
      <c r="C50" s="31" t="str">
        <f aca="false">물고기!B22</f>
        <v>광어</v>
      </c>
      <c r="D50" s="31" t="str">
        <f aca="false">물고기!C22</f>
        <v>릴낚시</v>
      </c>
      <c r="E50" s="32" t="n">
        <v>24</v>
      </c>
      <c r="F50" s="29" t="n">
        <f aca="false">E50/SUMIF($A$18:$A$74,A50,$E$18:$E$74)</f>
        <v>0.252631578947368</v>
      </c>
      <c r="G50" s="20" t="n">
        <f aca="false">F50*H50</f>
        <v>94.806700228833</v>
      </c>
      <c r="H50" s="5" t="n">
        <f aca="false">물고기!L22</f>
        <v>375.27652173913</v>
      </c>
      <c r="I50" s="31" t="str">
        <f aca="false">물고기!O22</f>
        <v>영웅</v>
      </c>
      <c r="J50" s="28" t="n">
        <f aca="false">E50*(1+가정!$B$27)^(-물고기!T22)</f>
        <v>13.1687242798354</v>
      </c>
      <c r="K50" s="28" t="n">
        <f aca="false">E50*(1+가정!$B$27)^(물고기!T22)</f>
        <v>43.74</v>
      </c>
      <c r="M50" s="20" t="n">
        <f aca="false">J50/SUMIF($A$18:$A$74,A50,$J$18:$J$74)*H50</f>
        <v>95.3221597454697</v>
      </c>
      <c r="N50" s="20" t="n">
        <f aca="false">K50/SUMIF($A$18:$A$74,A50,$K$18:$K$74)*H50</f>
        <v>87.854863080623</v>
      </c>
      <c r="O50" s="31" t="n">
        <f aca="false">물고기!E22</f>
        <v>35</v>
      </c>
      <c r="P50" s="31" t="n">
        <f aca="false">물고기!F22</f>
        <v>90</v>
      </c>
      <c r="Q50" s="5" t="n">
        <f aca="false">물고기!G22</f>
        <v>450</v>
      </c>
      <c r="R50" s="33" t="n">
        <f aca="false">물고기!I22</f>
        <v>62.5</v>
      </c>
      <c r="S50" s="31" t="n">
        <f aca="false">물고기!T22</f>
        <v>2</v>
      </c>
    </row>
    <row r="51" customFormat="false" ht="15" hidden="false" customHeight="false" outlineLevel="0" collapsed="false">
      <c r="A51" s="4" t="s">
        <v>331</v>
      </c>
      <c r="B51" s="4" t="s">
        <v>250</v>
      </c>
      <c r="C51" s="31" t="str">
        <f aca="false">물고기!B23</f>
        <v>참돔</v>
      </c>
      <c r="D51" s="31" t="str">
        <f aca="false">물고기!C23</f>
        <v>릴낚시</v>
      </c>
      <c r="E51" s="32" t="n">
        <v>18</v>
      </c>
      <c r="F51" s="29" t="n">
        <f aca="false">E51/SUMIF($A$18:$A$74,A51,$E$18:$E$74)</f>
        <v>0.189473684210526</v>
      </c>
      <c r="G51" s="20" t="n">
        <f aca="false">F51*H51</f>
        <v>140.604772801569</v>
      </c>
      <c r="H51" s="5" t="n">
        <f aca="false">물고기!L23</f>
        <v>742.080745341615</v>
      </c>
      <c r="I51" s="31" t="str">
        <f aca="false">물고기!O23</f>
        <v>영웅</v>
      </c>
      <c r="J51" s="28" t="n">
        <f aca="false">E51*(1+가정!$B$27)^(-물고기!T23)</f>
        <v>7.31595793324188</v>
      </c>
      <c r="K51" s="28" t="n">
        <f aca="false">E51*(1+가정!$B$27)^(물고기!T23)</f>
        <v>44.28675</v>
      </c>
      <c r="M51" s="20" t="n">
        <f aca="false">J51/SUMIF($A$18:$A$74,A51,$J$18:$J$74)*H51</f>
        <v>104.717951302916</v>
      </c>
      <c r="N51" s="20" t="n">
        <f aca="false">K51/SUMIF($A$18:$A$74,A51,$K$18:$K$74)*H51</f>
        <v>175.897880579644</v>
      </c>
      <c r="O51" s="31" t="n">
        <f aca="false">물고기!E23</f>
        <v>30</v>
      </c>
      <c r="P51" s="31" t="n">
        <f aca="false">물고기!F23</f>
        <v>90</v>
      </c>
      <c r="Q51" s="5" t="n">
        <f aca="false">물고기!G23</f>
        <v>900</v>
      </c>
      <c r="R51" s="33" t="n">
        <f aca="false">물고기!I23</f>
        <v>60</v>
      </c>
      <c r="S51" s="31" t="n">
        <f aca="false">물고기!T23</f>
        <v>3</v>
      </c>
    </row>
    <row r="52" customFormat="false" ht="15" hidden="false" customHeight="false" outlineLevel="0" collapsed="false">
      <c r="A52" s="4" t="s">
        <v>331</v>
      </c>
      <c r="B52" s="4" t="s">
        <v>252</v>
      </c>
      <c r="C52" s="31" t="str">
        <f aca="false">물고기!B24</f>
        <v>방어</v>
      </c>
      <c r="D52" s="31" t="str">
        <f aca="false">물고기!C24</f>
        <v>릴낚시</v>
      </c>
      <c r="E52" s="32" t="n">
        <v>13</v>
      </c>
      <c r="F52" s="29" t="n">
        <f aca="false">E52/SUMIF($A$18:$A$74,A52,$E$18:$E$74)</f>
        <v>0.136842105263158</v>
      </c>
      <c r="G52" s="20" t="n">
        <f aca="false">F52*H52</f>
        <v>162.407036613272</v>
      </c>
      <c r="H52" s="5" t="n">
        <f aca="false">물고기!L24</f>
        <v>1186.82065217391</v>
      </c>
      <c r="I52" s="31" t="str">
        <f aca="false">물고기!O24</f>
        <v>전설</v>
      </c>
      <c r="J52" s="28" t="n">
        <f aca="false">E52*(1+가정!$B$27)^(-물고기!T24)</f>
        <v>5.28374739623025</v>
      </c>
      <c r="K52" s="28" t="n">
        <f aca="false">E52*(1+가정!$B$27)^(물고기!T24)</f>
        <v>31.984875</v>
      </c>
      <c r="M52" s="20" t="n">
        <f aca="false">J52/SUMIF($A$18:$A$74,A52,$J$18:$J$74)*H52</f>
        <v>120.955582178713</v>
      </c>
      <c r="N52" s="20" t="n">
        <f aca="false">K52/SUMIF($A$18:$A$74,A52,$K$18:$K$74)*H52</f>
        <v>203.172715707247</v>
      </c>
      <c r="O52" s="31" t="n">
        <f aca="false">물고기!E24</f>
        <v>50</v>
      </c>
      <c r="P52" s="31" t="n">
        <f aca="false">물고기!F24</f>
        <v>110</v>
      </c>
      <c r="Q52" s="5" t="n">
        <f aca="false">물고기!G24</f>
        <v>1400</v>
      </c>
      <c r="R52" s="33" t="n">
        <f aca="false">물고기!I24</f>
        <v>80</v>
      </c>
      <c r="S52" s="31" t="n">
        <f aca="false">물고기!T24</f>
        <v>3</v>
      </c>
    </row>
    <row r="53" customFormat="false" ht="15" hidden="false" customHeight="false" outlineLevel="0" collapsed="false">
      <c r="A53" s="4" t="s">
        <v>331</v>
      </c>
      <c r="B53" s="4" t="s">
        <v>254</v>
      </c>
      <c r="C53" s="31" t="str">
        <f aca="false">물고기!B25</f>
        <v>부시리</v>
      </c>
      <c r="D53" s="31" t="str">
        <f aca="false">물고기!C25</f>
        <v>릴낚시</v>
      </c>
      <c r="E53" s="32" t="n">
        <v>8</v>
      </c>
      <c r="F53" s="29" t="n">
        <f aca="false">E53/SUMIF($A$18:$A$74,A53,$E$18:$E$74)</f>
        <v>0.0842105263157895</v>
      </c>
      <c r="G53" s="20" t="n">
        <f aca="false">F53*H53</f>
        <v>155.98927754168</v>
      </c>
      <c r="H53" s="5" t="n">
        <f aca="false">물고기!L25</f>
        <v>1852.37267080745</v>
      </c>
      <c r="I53" s="31" t="str">
        <f aca="false">물고기!O25</f>
        <v>전설</v>
      </c>
      <c r="J53" s="28" t="n">
        <f aca="false">E53*(1+가정!$B$27)^(-물고기!T25)</f>
        <v>3.25153685921861</v>
      </c>
      <c r="K53" s="28" t="n">
        <f aca="false">E53*(1+가정!$B$27)^(물고기!T25)</f>
        <v>19.683</v>
      </c>
      <c r="M53" s="20" t="n">
        <f aca="false">J53/SUMIF($A$18:$A$74,A53,$J$18:$J$74)*H53</f>
        <v>116.175839865974</v>
      </c>
      <c r="N53" s="20" t="n">
        <f aca="false">K53/SUMIF($A$18:$A$74,A53,$K$18:$K$74)*H53</f>
        <v>195.144039323999</v>
      </c>
      <c r="O53" s="31" t="n">
        <f aca="false">물고기!E25</f>
        <v>60</v>
      </c>
      <c r="P53" s="31" t="n">
        <f aca="false">물고기!F25</f>
        <v>140</v>
      </c>
      <c r="Q53" s="5" t="n">
        <f aca="false">물고기!G25</f>
        <v>2200</v>
      </c>
      <c r="R53" s="33" t="n">
        <f aca="false">물고기!I25</f>
        <v>100</v>
      </c>
      <c r="S53" s="31" t="n">
        <f aca="false">물고기!T25</f>
        <v>3</v>
      </c>
    </row>
    <row r="54" customFormat="false" ht="15" hidden="false" customHeight="false" outlineLevel="0" collapsed="false">
      <c r="A54" s="4" t="s">
        <v>331</v>
      </c>
      <c r="B54" s="4" t="s">
        <v>256</v>
      </c>
      <c r="C54" s="31" t="str">
        <f aca="false">물고기!B26</f>
        <v>참다랑어</v>
      </c>
      <c r="D54" s="31" t="str">
        <f aca="false">물고기!C26</f>
        <v>릴낚시</v>
      </c>
      <c r="E54" s="32" t="n">
        <v>2</v>
      </c>
      <c r="F54" s="29" t="n">
        <f aca="false">E54/SUMIF($A$18:$A$74,A54,$E$18:$E$74)</f>
        <v>0.0210526315789474</v>
      </c>
      <c r="G54" s="20" t="n">
        <f aca="false">F54*H54</f>
        <v>156.93575743526</v>
      </c>
      <c r="H54" s="5" t="n">
        <f aca="false">물고기!L26</f>
        <v>7454.44847817484</v>
      </c>
      <c r="I54" s="31" t="str">
        <f aca="false">물고기!O26</f>
        <v>전설</v>
      </c>
      <c r="J54" s="28" t="n">
        <f aca="false">E54*(1+가정!$B$27)^(-물고기!T26)</f>
        <v>0.602136455410855</v>
      </c>
      <c r="K54" s="28" t="n">
        <f aca="false">E54*(1+가정!$B$27)^(물고기!T26)</f>
        <v>6.6430125</v>
      </c>
      <c r="M54" s="20" t="n">
        <f aca="false">J54/SUMIF($A$18:$A$74,A54,$J$18:$J$74)*H54</f>
        <v>86.5783317853365</v>
      </c>
      <c r="N54" s="20" t="n">
        <f aca="false">K54/SUMIF($A$18:$A$74,A54,$K$18:$K$74)*H54</f>
        <v>265.042927558541</v>
      </c>
      <c r="O54" s="31" t="n">
        <f aca="false">물고기!E26</f>
        <v>100</v>
      </c>
      <c r="P54" s="31" t="n">
        <f aca="false">물고기!F26</f>
        <v>280</v>
      </c>
      <c r="Q54" s="5" t="n">
        <f aca="false">물고기!G26</f>
        <v>9000</v>
      </c>
      <c r="R54" s="33" t="n">
        <f aca="false">물고기!I26</f>
        <v>190</v>
      </c>
      <c r="S54" s="31" t="n">
        <f aca="false">물고기!T26</f>
        <v>4</v>
      </c>
    </row>
    <row r="55" customFormat="false" ht="15" hidden="false" customHeight="false" outlineLevel="0" collapsed="false">
      <c r="A55" s="4" t="s">
        <v>333</v>
      </c>
      <c r="B55" s="4" t="s">
        <v>274</v>
      </c>
      <c r="C55" s="31" t="str">
        <f aca="false">물고기!B35</f>
        <v>피라냐</v>
      </c>
      <c r="D55" s="31" t="str">
        <f aca="false">물고기!C35</f>
        <v>찌낚시</v>
      </c>
      <c r="E55" s="32" t="n">
        <v>30</v>
      </c>
      <c r="F55" s="29" t="n">
        <f aca="false">E55/SUMIF($A$18:$A$74,A55,$E$18:$E$74)</f>
        <v>0.326086956521739</v>
      </c>
      <c r="G55" s="20" t="n">
        <f aca="false">F55*H55</f>
        <v>82.3683499864974</v>
      </c>
      <c r="H55" s="5" t="n">
        <f aca="false">물고기!L35</f>
        <v>252.596273291925</v>
      </c>
      <c r="I55" s="31" t="str">
        <f aca="false">물고기!O35</f>
        <v>희귀</v>
      </c>
      <c r="J55" s="28" t="n">
        <f aca="false">E55*(1+가정!$B$27)^(-물고기!T35)</f>
        <v>16.4609053497942</v>
      </c>
      <c r="K55" s="28" t="n">
        <f aca="false">E55*(1+가정!$B$27)^(물고기!T35)</f>
        <v>54.675</v>
      </c>
      <c r="M55" s="20" t="n">
        <f aca="false">J55/SUMIF($A$18:$A$74,A55,$J$18:$J$74)*H55</f>
        <v>105.687401891992</v>
      </c>
      <c r="N55" s="20" t="n">
        <f aca="false">K55/SUMIF($A$18:$A$74,A55,$K$18:$K$74)*H55</f>
        <v>61.065217766693</v>
      </c>
      <c r="O55" s="31" t="n">
        <f aca="false">물고기!E35</f>
        <v>15</v>
      </c>
      <c r="P55" s="31" t="n">
        <f aca="false">물고기!F35</f>
        <v>35</v>
      </c>
      <c r="Q55" s="5" t="n">
        <f aca="false">물고기!G35</f>
        <v>300</v>
      </c>
      <c r="R55" s="33" t="n">
        <f aca="false">물고기!I35</f>
        <v>25</v>
      </c>
      <c r="S55" s="31" t="n">
        <f aca="false">물고기!T35</f>
        <v>2</v>
      </c>
    </row>
    <row r="56" customFormat="false" ht="15" hidden="false" customHeight="false" outlineLevel="0" collapsed="false">
      <c r="A56" s="4" t="s">
        <v>333</v>
      </c>
      <c r="B56" s="4" t="s">
        <v>276</v>
      </c>
      <c r="C56" s="31" t="str">
        <f aca="false">물고기!B36</f>
        <v>파쿠</v>
      </c>
      <c r="D56" s="31" t="str">
        <f aca="false">물고기!C36</f>
        <v>찌낚시</v>
      </c>
      <c r="E56" s="32" t="n">
        <v>22</v>
      </c>
      <c r="F56" s="29" t="n">
        <f aca="false">E56/SUMIF($A$18:$A$74,A56,$E$18:$E$74)</f>
        <v>0.239130434782609</v>
      </c>
      <c r="G56" s="20" t="n">
        <f aca="false">F56*H56</f>
        <v>139.164804949304</v>
      </c>
      <c r="H56" s="5" t="n">
        <f aca="false">물고기!L36</f>
        <v>581.96191160618</v>
      </c>
      <c r="I56" s="31" t="str">
        <f aca="false">물고기!O36</f>
        <v>영웅</v>
      </c>
      <c r="J56" s="28" t="n">
        <f aca="false">E56*(1+가정!$B$27)^(-물고기!T36)</f>
        <v>8.94172636285119</v>
      </c>
      <c r="K56" s="28" t="n">
        <f aca="false">E56*(1+가정!$B$27)^(물고기!T36)</f>
        <v>54.12825</v>
      </c>
      <c r="M56" s="20" t="n">
        <f aca="false">J56/SUMIF($A$18:$A$74,A56,$J$18:$J$74)*H56</f>
        <v>132.26913162199</v>
      </c>
      <c r="N56" s="20" t="n">
        <f aca="false">K56/SUMIF($A$18:$A$74,A56,$K$18:$K$74)*H56</f>
        <v>139.282555902362</v>
      </c>
      <c r="O56" s="31" t="n">
        <f aca="false">물고기!E36</f>
        <v>30</v>
      </c>
      <c r="P56" s="31" t="n">
        <f aca="false">물고기!F36</f>
        <v>80</v>
      </c>
      <c r="Q56" s="5" t="n">
        <f aca="false">물고기!G36</f>
        <v>700</v>
      </c>
      <c r="R56" s="33" t="n">
        <f aca="false">물고기!I36</f>
        <v>55</v>
      </c>
      <c r="S56" s="31" t="n">
        <f aca="false">물고기!T36</f>
        <v>3</v>
      </c>
    </row>
    <row r="57" customFormat="false" ht="15" hidden="false" customHeight="false" outlineLevel="0" collapsed="false">
      <c r="A57" s="4" t="s">
        <v>333</v>
      </c>
      <c r="B57" s="4" t="s">
        <v>278</v>
      </c>
      <c r="C57" s="31" t="str">
        <f aca="false">물고기!B37</f>
        <v>피콕배스</v>
      </c>
      <c r="D57" s="31" t="str">
        <f aca="false">물고기!C37</f>
        <v>릴낚시</v>
      </c>
      <c r="E57" s="32" t="n">
        <v>18</v>
      </c>
      <c r="F57" s="29" t="n">
        <f aca="false">E57/SUMIF($A$18:$A$74,A57,$E$18:$E$74)</f>
        <v>0.195652173913044</v>
      </c>
      <c r="G57" s="20" t="n">
        <f aca="false">F57*H57</f>
        <v>247.105049959492</v>
      </c>
      <c r="H57" s="5" t="n">
        <f aca="false">물고기!L37</f>
        <v>1262.98136645963</v>
      </c>
      <c r="I57" s="31" t="str">
        <f aca="false">물고기!O37</f>
        <v>전설</v>
      </c>
      <c r="J57" s="28" t="n">
        <f aca="false">E57*(1+가정!$B$27)^(-물고기!T37)</f>
        <v>7.31595793324188</v>
      </c>
      <c r="K57" s="28" t="n">
        <f aca="false">E57*(1+가정!$B$27)^(물고기!T37)</f>
        <v>44.28675</v>
      </c>
      <c r="M57" s="20" t="n">
        <f aca="false">J57/SUMIF($A$18:$A$74,A57,$J$18:$J$74)*H57</f>
        <v>234.860893093315</v>
      </c>
      <c r="N57" s="20" t="n">
        <f aca="false">K57/SUMIF($A$18:$A$74,A57,$K$18:$K$74)*H57</f>
        <v>247.314131955107</v>
      </c>
      <c r="O57" s="31" t="n">
        <f aca="false">물고기!E37</f>
        <v>30</v>
      </c>
      <c r="P57" s="31" t="n">
        <f aca="false">물고기!F37</f>
        <v>70</v>
      </c>
      <c r="Q57" s="5" t="n">
        <f aca="false">물고기!G37</f>
        <v>1500</v>
      </c>
      <c r="R57" s="33" t="n">
        <f aca="false">물고기!I37</f>
        <v>50</v>
      </c>
      <c r="S57" s="31" t="n">
        <f aca="false">물고기!T37</f>
        <v>3</v>
      </c>
    </row>
    <row r="58" customFormat="false" ht="15" hidden="false" customHeight="false" outlineLevel="0" collapsed="false">
      <c r="A58" s="4" t="s">
        <v>333</v>
      </c>
      <c r="B58" s="4" t="s">
        <v>280</v>
      </c>
      <c r="C58" s="31" t="str">
        <f aca="false">물고기!B38</f>
        <v>레드테일 캣피시</v>
      </c>
      <c r="D58" s="31" t="str">
        <f aca="false">물고기!C38</f>
        <v>릴낚시</v>
      </c>
      <c r="E58" s="32" t="n">
        <v>12</v>
      </c>
      <c r="F58" s="29" t="n">
        <f aca="false">E58/SUMIF($A$18:$A$74,A58,$E$18:$E$74)</f>
        <v>0.130434782608696</v>
      </c>
      <c r="G58" s="20" t="n">
        <f aca="false">F58*H58</f>
        <v>285.543613286524</v>
      </c>
      <c r="H58" s="5" t="n">
        <f aca="false">물고기!L38</f>
        <v>2189.16770186335</v>
      </c>
      <c r="I58" s="31" t="str">
        <f aca="false">물고기!O38</f>
        <v>전설</v>
      </c>
      <c r="J58" s="28" t="n">
        <f aca="false">E58*(1+가정!$B$27)^(-물고기!T38)</f>
        <v>3.61281873246513</v>
      </c>
      <c r="K58" s="28" t="n">
        <f aca="false">E58*(1+가정!$B$27)^(물고기!T38)</f>
        <v>39.858075</v>
      </c>
      <c r="M58" s="20" t="n">
        <f aca="false">J58/SUMIF($A$18:$A$74,A58,$J$18:$J$74)*H58</f>
        <v>201.033192442015</v>
      </c>
      <c r="N58" s="20" t="n">
        <f aca="false">K58/SUMIF($A$18:$A$74,A58,$K$18:$K$74)*H58</f>
        <v>385.810045849966</v>
      </c>
      <c r="O58" s="31" t="n">
        <f aca="false">물고기!E38</f>
        <v>60</v>
      </c>
      <c r="P58" s="31" t="n">
        <f aca="false">물고기!F38</f>
        <v>140</v>
      </c>
      <c r="Q58" s="5" t="n">
        <f aca="false">물고기!G38</f>
        <v>2600</v>
      </c>
      <c r="R58" s="33" t="n">
        <f aca="false">물고기!I38</f>
        <v>100</v>
      </c>
      <c r="S58" s="31" t="n">
        <f aca="false">물고기!T38</f>
        <v>4</v>
      </c>
    </row>
    <row r="59" customFormat="false" ht="15" hidden="false" customHeight="false" outlineLevel="0" collapsed="false">
      <c r="A59" s="4" t="s">
        <v>333</v>
      </c>
      <c r="B59" s="4" t="s">
        <v>282</v>
      </c>
      <c r="C59" s="31" t="str">
        <f aca="false">물고기!B39</f>
        <v>아로와나</v>
      </c>
      <c r="D59" s="31" t="str">
        <f aca="false">물고기!C39</f>
        <v>릴낚시</v>
      </c>
      <c r="E59" s="32" t="n">
        <v>8</v>
      </c>
      <c r="F59" s="29" t="n">
        <f aca="false">E59/SUMIF($A$18:$A$74,A59,$E$18:$E$74)</f>
        <v>0.0869565217391304</v>
      </c>
      <c r="G59" s="20" t="n">
        <f aca="false">F59*H59</f>
        <v>209.031716026045</v>
      </c>
      <c r="H59" s="5" t="n">
        <f aca="false">물고기!L39</f>
        <v>2403.86473429952</v>
      </c>
      <c r="I59" s="31" t="str">
        <f aca="false">물고기!O39</f>
        <v>전설</v>
      </c>
      <c r="J59" s="28" t="n">
        <f aca="false">E59*(1+가정!$B$27)^(-물고기!T39)</f>
        <v>2.40854582164342</v>
      </c>
      <c r="K59" s="28" t="n">
        <f aca="false">E59*(1+가정!$B$27)^(물고기!T39)</f>
        <v>26.57205</v>
      </c>
      <c r="M59" s="20" t="n">
        <f aca="false">J59/SUMIF($A$18:$A$74,A59,$J$18:$J$74)*H59</f>
        <v>147.166006308752</v>
      </c>
      <c r="N59" s="20" t="n">
        <f aca="false">K59/SUMIF($A$18:$A$74,A59,$K$18:$K$74)*H59</f>
        <v>282.431587300753</v>
      </c>
      <c r="O59" s="31" t="n">
        <f aca="false">물고기!E39</f>
        <v>50</v>
      </c>
      <c r="P59" s="31" t="n">
        <f aca="false">물고기!F39</f>
        <v>100</v>
      </c>
      <c r="Q59" s="5" t="n">
        <f aca="false">물고기!G39</f>
        <v>2800</v>
      </c>
      <c r="R59" s="33" t="n">
        <f aca="false">물고기!I39</f>
        <v>75</v>
      </c>
      <c r="S59" s="31" t="n">
        <f aca="false">물고기!T39</f>
        <v>4</v>
      </c>
    </row>
    <row r="60" customFormat="false" ht="15" hidden="false" customHeight="false" outlineLevel="0" collapsed="false">
      <c r="A60" s="4" t="s">
        <v>333</v>
      </c>
      <c r="B60" s="4" t="s">
        <v>284</v>
      </c>
      <c r="C60" s="31" t="str">
        <f aca="false">물고기!B40</f>
        <v>피라루쿠</v>
      </c>
      <c r="D60" s="31" t="str">
        <f aca="false">물고기!C40</f>
        <v>릴낚시</v>
      </c>
      <c r="E60" s="32" t="n">
        <v>2</v>
      </c>
      <c r="F60" s="29" t="n">
        <f aca="false">E60/SUMIF($A$18:$A$74,A60,$E$18:$E$74)</f>
        <v>0.0217391304347826</v>
      </c>
      <c r="G60" s="20" t="n">
        <f aca="false">F60*H60</f>
        <v>298.616737180064</v>
      </c>
      <c r="H60" s="5" t="n">
        <f aca="false">물고기!L40</f>
        <v>13736.369910283</v>
      </c>
      <c r="I60" s="31" t="str">
        <f aca="false">물고기!O40</f>
        <v>전설</v>
      </c>
      <c r="J60" s="28" t="n">
        <f aca="false">E60*(1+가정!$B$27)^(-물고기!T40)</f>
        <v>0.602136455410855</v>
      </c>
      <c r="K60" s="28" t="n">
        <f aca="false">E60*(1+가정!$B$27)^(물고기!T40)</f>
        <v>6.6430125</v>
      </c>
      <c r="M60" s="20" t="n">
        <f aca="false">J60/SUMIF($A$18:$A$74,A60,$J$18:$J$74)*H60</f>
        <v>210.237151869645</v>
      </c>
      <c r="N60" s="20" t="n">
        <f aca="false">K60/SUMIF($A$18:$A$74,A60,$K$18:$K$74)*H60</f>
        <v>403.473696143933</v>
      </c>
      <c r="O60" s="31" t="n">
        <f aca="false">물고기!E40</f>
        <v>150</v>
      </c>
      <c r="P60" s="31" t="n">
        <f aca="false">물고기!F40</f>
        <v>300</v>
      </c>
      <c r="Q60" s="5" t="n">
        <f aca="false">물고기!G40</f>
        <v>16000</v>
      </c>
      <c r="R60" s="33" t="n">
        <f aca="false">물고기!I40</f>
        <v>225</v>
      </c>
      <c r="S60" s="31" t="n">
        <f aca="false">물고기!T40</f>
        <v>4</v>
      </c>
    </row>
    <row r="61" customFormat="false" ht="15" hidden="false" customHeight="false" outlineLevel="0" collapsed="false">
      <c r="A61" s="4" t="s">
        <v>335</v>
      </c>
      <c r="B61" s="4" t="s">
        <v>286</v>
      </c>
      <c r="C61" s="31" t="str">
        <f aca="false">물고기!B41</f>
        <v>무지개송어</v>
      </c>
      <c r="D61" s="31" t="str">
        <f aca="false">물고기!C41</f>
        <v>찌낚시</v>
      </c>
      <c r="E61" s="32" t="n">
        <v>26</v>
      </c>
      <c r="F61" s="29" t="n">
        <f aca="false">E61/SUMIF($A$18:$A$74,A61,$E$18:$E$74)</f>
        <v>0.268041237113402</v>
      </c>
      <c r="G61" s="20" t="n">
        <f aca="false">F61*H61</f>
        <v>222.842558199716</v>
      </c>
      <c r="H61" s="5" t="n">
        <f aca="false">물고기!L41</f>
        <v>831.374159437401</v>
      </c>
      <c r="I61" s="31" t="str">
        <f aca="false">물고기!O41</f>
        <v>영웅</v>
      </c>
      <c r="J61" s="28" t="n">
        <f aca="false">E61*(1+가정!$B$27)^(-물고기!T41)</f>
        <v>10.5674947924605</v>
      </c>
      <c r="K61" s="28" t="n">
        <f aca="false">E61*(1+가정!$B$27)^(물고기!T41)</f>
        <v>63.96975</v>
      </c>
      <c r="M61" s="20" t="n">
        <f aca="false">J61/SUMIF($A$18:$A$74,A61,$J$18:$J$74)*H61</f>
        <v>234.764545424399</v>
      </c>
      <c r="N61" s="20" t="n">
        <f aca="false">K61/SUMIF($A$18:$A$74,A61,$K$18:$K$74)*H61</f>
        <v>208.545375256849</v>
      </c>
      <c r="O61" s="31" t="n">
        <f aca="false">물고기!E41</f>
        <v>30</v>
      </c>
      <c r="P61" s="31" t="n">
        <f aca="false">물고기!F41</f>
        <v>80</v>
      </c>
      <c r="Q61" s="5" t="n">
        <f aca="false">물고기!G41</f>
        <v>1000</v>
      </c>
      <c r="R61" s="33" t="n">
        <f aca="false">물고기!I41</f>
        <v>55</v>
      </c>
      <c r="S61" s="31" t="n">
        <f aca="false">물고기!T41</f>
        <v>3</v>
      </c>
    </row>
    <row r="62" customFormat="false" ht="15" hidden="false" customHeight="false" outlineLevel="0" collapsed="false">
      <c r="A62" s="4" t="s">
        <v>335</v>
      </c>
      <c r="B62" s="4" t="s">
        <v>288</v>
      </c>
      <c r="C62" s="31" t="str">
        <f aca="false">물고기!B42</f>
        <v>홍연어</v>
      </c>
      <c r="D62" s="31" t="str">
        <f aca="false">물고기!C42</f>
        <v>찌낚시</v>
      </c>
      <c r="E62" s="32" t="n">
        <v>22</v>
      </c>
      <c r="F62" s="29" t="n">
        <f aca="false">E62/SUMIF($A$18:$A$74,A62,$E$18:$E$74)</f>
        <v>0.22680412371134</v>
      </c>
      <c r="G62" s="20" t="n">
        <f aca="false">F62*H62</f>
        <v>357.042545943523</v>
      </c>
      <c r="H62" s="5" t="n">
        <f aca="false">물고기!L42</f>
        <v>1574.23304347826</v>
      </c>
      <c r="I62" s="31" t="str">
        <f aca="false">물고기!O42</f>
        <v>전설</v>
      </c>
      <c r="J62" s="28" t="n">
        <f aca="false">E62*(1+가정!$B$27)^(-물고기!T42)</f>
        <v>8.94172636285119</v>
      </c>
      <c r="K62" s="28" t="n">
        <f aca="false">E62*(1+가정!$B$27)^(물고기!T42)</f>
        <v>54.12825</v>
      </c>
      <c r="M62" s="20" t="n">
        <f aca="false">J62/SUMIF($A$18:$A$74,A62,$J$18:$J$74)*H62</f>
        <v>376.144178530204</v>
      </c>
      <c r="N62" s="20" t="n">
        <f aca="false">K62/SUMIF($A$18:$A$74,A62,$K$18:$K$74)*H62</f>
        <v>334.135330019505</v>
      </c>
      <c r="O62" s="31" t="n">
        <f aca="false">물고기!E42</f>
        <v>45</v>
      </c>
      <c r="P62" s="31" t="n">
        <f aca="false">물고기!F42</f>
        <v>80</v>
      </c>
      <c r="Q62" s="5" t="n">
        <f aca="false">물고기!G42</f>
        <v>1800</v>
      </c>
      <c r="R62" s="33" t="n">
        <f aca="false">물고기!I42</f>
        <v>62.5</v>
      </c>
      <c r="S62" s="31" t="n">
        <f aca="false">물고기!T42</f>
        <v>3</v>
      </c>
    </row>
    <row r="63" customFormat="false" ht="15" hidden="false" customHeight="false" outlineLevel="0" collapsed="false">
      <c r="A63" s="4" t="s">
        <v>335</v>
      </c>
      <c r="B63" s="4" t="s">
        <v>292</v>
      </c>
      <c r="C63" s="31" t="str">
        <f aca="false">물고기!B44</f>
        <v>은연어</v>
      </c>
      <c r="D63" s="31" t="str">
        <f aca="false">물고기!C44</f>
        <v>릴낚시</v>
      </c>
      <c r="E63" s="32" t="n">
        <v>18</v>
      </c>
      <c r="F63" s="29" t="n">
        <f aca="false">E63/SUMIF($A$18:$A$74,A63,$E$18:$E$74)</f>
        <v>0.185567010309278</v>
      </c>
      <c r="G63" s="20" t="n">
        <f aca="false">F63*H63</f>
        <v>323.901347694101</v>
      </c>
      <c r="H63" s="5" t="n">
        <f aca="false">물고기!L44</f>
        <v>1745.46837368488</v>
      </c>
      <c r="I63" s="31" t="str">
        <f aca="false">물고기!O44</f>
        <v>전설</v>
      </c>
      <c r="J63" s="28" t="n">
        <f aca="false">E63*(1+가정!$B$27)^(-물고기!T44)</f>
        <v>7.31595793324188</v>
      </c>
      <c r="K63" s="28" t="n">
        <f aca="false">E63*(1+가정!$B$27)^(물고기!T44)</f>
        <v>44.28675</v>
      </c>
      <c r="M63" s="20" t="n">
        <f aca="false">J63/SUMIF($A$18:$A$74,A63,$J$18:$J$74)*H63</f>
        <v>341.229939505572</v>
      </c>
      <c r="N63" s="20" t="n">
        <f aca="false">K63/SUMIF($A$18:$A$74,A63,$K$18:$K$74)*H63</f>
        <v>303.120412217345</v>
      </c>
      <c r="O63" s="31" t="n">
        <f aca="false">물고기!E44</f>
        <v>50</v>
      </c>
      <c r="P63" s="31" t="n">
        <f aca="false">물고기!F44</f>
        <v>90</v>
      </c>
      <c r="Q63" s="5" t="n">
        <f aca="false">물고기!G44</f>
        <v>2000</v>
      </c>
      <c r="R63" s="33" t="n">
        <f aca="false">물고기!I44</f>
        <v>70</v>
      </c>
      <c r="S63" s="31" t="n">
        <f aca="false">물고기!T44</f>
        <v>3</v>
      </c>
    </row>
    <row r="64" customFormat="false" ht="15" hidden="false" customHeight="false" outlineLevel="0" collapsed="false">
      <c r="A64" s="4" t="s">
        <v>335</v>
      </c>
      <c r="B64" s="4" t="s">
        <v>290</v>
      </c>
      <c r="C64" s="31" t="str">
        <f aca="false">물고기!B43</f>
        <v>북극곤들매기</v>
      </c>
      <c r="D64" s="31" t="str">
        <f aca="false">물고기!C43</f>
        <v>찌낚시</v>
      </c>
      <c r="E64" s="32" t="n">
        <v>12</v>
      </c>
      <c r="F64" s="29" t="n">
        <f aca="false">E64/SUMIF($A$18:$A$74,A64,$E$18:$E$74)</f>
        <v>0.123711340206186</v>
      </c>
      <c r="G64" s="20" t="n">
        <f aca="false">F64*H64</f>
        <v>254.901709675354</v>
      </c>
      <c r="H64" s="5" t="n">
        <f aca="false">물고기!L43</f>
        <v>2060.45548654244</v>
      </c>
      <c r="I64" s="31" t="str">
        <f aca="false">물고기!O43</f>
        <v>전설</v>
      </c>
      <c r="J64" s="28" t="n">
        <f aca="false">E64*(1+가정!$B$27)^(-물고기!T43)</f>
        <v>4.87730528882792</v>
      </c>
      <c r="K64" s="28" t="n">
        <f aca="false">E64*(1+가정!$B$27)^(물고기!T43)</f>
        <v>29.5245</v>
      </c>
      <c r="M64" s="20" t="n">
        <f aca="false">J64/SUMIF($A$18:$A$74,A64,$J$18:$J$74)*H64</f>
        <v>268.538848608106</v>
      </c>
      <c r="N64" s="20" t="n">
        <f aca="false">K64/SUMIF($A$18:$A$74,A64,$K$18:$K$74)*H64</f>
        <v>238.547668485377</v>
      </c>
      <c r="O64" s="31" t="n">
        <f aca="false">물고기!E43</f>
        <v>40</v>
      </c>
      <c r="P64" s="31" t="n">
        <f aca="false">물고기!F43</f>
        <v>80</v>
      </c>
      <c r="Q64" s="5" t="n">
        <f aca="false">물고기!G43</f>
        <v>2400</v>
      </c>
      <c r="R64" s="33" t="n">
        <f aca="false">물고기!I43</f>
        <v>60</v>
      </c>
      <c r="S64" s="31" t="n">
        <f aca="false">물고기!T43</f>
        <v>3</v>
      </c>
    </row>
    <row r="65" customFormat="false" ht="15" hidden="false" customHeight="false" outlineLevel="0" collapsed="false">
      <c r="A65" s="4" t="s">
        <v>335</v>
      </c>
      <c r="B65" s="4" t="s">
        <v>294</v>
      </c>
      <c r="C65" s="31" t="str">
        <f aca="false">물고기!B45</f>
        <v>링코드</v>
      </c>
      <c r="D65" s="31" t="str">
        <f aca="false">물고기!C45</f>
        <v>릴낚시</v>
      </c>
      <c r="E65" s="32" t="n">
        <v>10</v>
      </c>
      <c r="F65" s="29" t="n">
        <f aca="false">E65/SUMIF($A$18:$A$74,A65,$E$18:$E$74)</f>
        <v>0.103092783505155</v>
      </c>
      <c r="G65" s="20" t="n">
        <f aca="false">F65*H65</f>
        <v>302.9038757117</v>
      </c>
      <c r="H65" s="5" t="n">
        <f aca="false">물고기!L45</f>
        <v>2938.16759440349</v>
      </c>
      <c r="I65" s="31" t="str">
        <f aca="false">물고기!O45</f>
        <v>전설</v>
      </c>
      <c r="J65" s="28" t="n">
        <f aca="false">E65*(1+가정!$B$27)^(-물고기!T45)</f>
        <v>3.01068227705427</v>
      </c>
      <c r="K65" s="28" t="n">
        <f aca="false">E65*(1+가정!$B$27)^(물고기!T45)</f>
        <v>33.2150625</v>
      </c>
      <c r="M65" s="20" t="n">
        <f aca="false">J65/SUMIF($A$18:$A$74,A65,$J$18:$J$74)*H65</f>
        <v>236.377119421037</v>
      </c>
      <c r="N65" s="20" t="n">
        <f aca="false">K65/SUMIF($A$18:$A$74,A65,$K$18:$K$74)*H65</f>
        <v>382.684636029398</v>
      </c>
      <c r="O65" s="31" t="n">
        <f aca="false">물고기!E45</f>
        <v>50</v>
      </c>
      <c r="P65" s="31" t="n">
        <f aca="false">물고기!F45</f>
        <v>120</v>
      </c>
      <c r="Q65" s="5" t="n">
        <f aca="false">물고기!G45</f>
        <v>3500</v>
      </c>
      <c r="R65" s="33" t="n">
        <f aca="false">물고기!I45</f>
        <v>85</v>
      </c>
      <c r="S65" s="31" t="n">
        <f aca="false">물고기!T45</f>
        <v>4</v>
      </c>
    </row>
    <row r="66" customFormat="false" ht="15" hidden="false" customHeight="false" outlineLevel="0" collapsed="false">
      <c r="A66" s="4" t="s">
        <v>335</v>
      </c>
      <c r="B66" s="4" t="s">
        <v>296</v>
      </c>
      <c r="C66" s="31" t="str">
        <f aca="false">물고기!B46</f>
        <v>왕연어</v>
      </c>
      <c r="D66" s="31" t="str">
        <f aca="false">물고기!C46</f>
        <v>릴낚시</v>
      </c>
      <c r="E66" s="32" t="n">
        <v>7</v>
      </c>
      <c r="F66" s="29" t="n">
        <f aca="false">E66/SUMIF($A$18:$A$74,A66,$E$18:$E$74)</f>
        <v>0.0721649484536082</v>
      </c>
      <c r="G66" s="20" t="n">
        <f aca="false">F66*H66</f>
        <v>309.77638328602</v>
      </c>
      <c r="H66" s="5" t="n">
        <f aca="false">물고기!L46</f>
        <v>4292.61559696342</v>
      </c>
      <c r="I66" s="31" t="str">
        <f aca="false">물고기!O46</f>
        <v>전설</v>
      </c>
      <c r="J66" s="28" t="n">
        <f aca="false">E66*(1+가정!$B$27)^(-물고기!T46)</f>
        <v>2.10747759393799</v>
      </c>
      <c r="K66" s="28" t="n">
        <f aca="false">E66*(1+가정!$B$27)^(물고기!T46)</f>
        <v>23.25054375</v>
      </c>
      <c r="M66" s="20" t="n">
        <f aca="false">J66/SUMIF($A$18:$A$74,A66,$J$18:$J$74)*H66</f>
        <v>241.740218654416</v>
      </c>
      <c r="N66" s="20" t="n">
        <f aca="false">K66/SUMIF($A$18:$A$74,A66,$K$18:$K$74)*H66</f>
        <v>391.367268608822</v>
      </c>
      <c r="O66" s="31" t="n">
        <f aca="false">물고기!E46</f>
        <v>70</v>
      </c>
      <c r="P66" s="31" t="n">
        <f aca="false">물고기!F46</f>
        <v>140</v>
      </c>
      <c r="Q66" s="5" t="n">
        <f aca="false">물고기!G46</f>
        <v>5000</v>
      </c>
      <c r="R66" s="33" t="n">
        <f aca="false">물고기!I46</f>
        <v>105</v>
      </c>
      <c r="S66" s="31" t="n">
        <f aca="false">물고기!T46</f>
        <v>4</v>
      </c>
    </row>
    <row r="67" customFormat="false" ht="15" hidden="false" customHeight="false" outlineLevel="0" collapsed="false">
      <c r="A67" s="4" t="s">
        <v>335</v>
      </c>
      <c r="B67" s="4" t="s">
        <v>298</v>
      </c>
      <c r="C67" s="31" t="str">
        <f aca="false">물고기!B47</f>
        <v>핼리벗</v>
      </c>
      <c r="D67" s="31" t="str">
        <f aca="false">물고기!C47</f>
        <v>릴낚시</v>
      </c>
      <c r="E67" s="32" t="n">
        <v>2</v>
      </c>
      <c r="F67" s="29" t="n">
        <f aca="false">E67/SUMIF($A$18:$A$74,A67,$E$18:$E$74)</f>
        <v>0.0206185567010309</v>
      </c>
      <c r="G67" s="20" t="n">
        <f aca="false">F67*H67</f>
        <v>237.468610558542</v>
      </c>
      <c r="H67" s="5" t="n">
        <f aca="false">물고기!L47</f>
        <v>11517.2276120893</v>
      </c>
      <c r="I67" s="31" t="str">
        <f aca="false">물고기!O47</f>
        <v>전설</v>
      </c>
      <c r="J67" s="28" t="n">
        <f aca="false">E67*(1+가정!$B$27)^(-물고기!T47)</f>
        <v>0.602136455410855</v>
      </c>
      <c r="K67" s="28" t="n">
        <f aca="false">E67*(1+가정!$B$27)^(물고기!T47)</f>
        <v>6.6430125</v>
      </c>
      <c r="M67" s="20" t="n">
        <f aca="false">J67/SUMIF($A$18:$A$74,A67,$J$18:$J$74)*H67</f>
        <v>185.313396815596</v>
      </c>
      <c r="N67" s="20" t="n">
        <f aca="false">K67/SUMIF($A$18:$A$74,A67,$K$18:$K$74)*H67</f>
        <v>300.014612181776</v>
      </c>
      <c r="O67" s="31" t="n">
        <f aca="false">물고기!E47</f>
        <v>80</v>
      </c>
      <c r="P67" s="31" t="n">
        <f aca="false">물고기!F47</f>
        <v>250</v>
      </c>
      <c r="Q67" s="5" t="n">
        <f aca="false">물고기!G47</f>
        <v>14000</v>
      </c>
      <c r="R67" s="33" t="n">
        <f aca="false">물고기!I47</f>
        <v>165</v>
      </c>
      <c r="S67" s="31" t="n">
        <f aca="false">물고기!T47</f>
        <v>4</v>
      </c>
    </row>
    <row r="68" customFormat="false" ht="15" hidden="false" customHeight="false" outlineLevel="0" collapsed="false">
      <c r="A68" s="4" t="s">
        <v>338</v>
      </c>
      <c r="B68" s="4" t="s">
        <v>250</v>
      </c>
      <c r="C68" s="31" t="str">
        <f aca="false">물고기!B23</f>
        <v>참돔</v>
      </c>
      <c r="D68" s="31" t="str">
        <f aca="false">물고기!C23</f>
        <v>릴낚시</v>
      </c>
      <c r="E68" s="32" t="n">
        <v>20</v>
      </c>
      <c r="F68" s="29" t="n">
        <f aca="false">E68/SUMIF($A$18:$A$74,A68,$E$18:$E$74)</f>
        <v>0.223463687150838</v>
      </c>
      <c r="G68" s="20" t="n">
        <f aca="false">F68*H68</f>
        <v>165.828099517679</v>
      </c>
      <c r="H68" s="5" t="n">
        <f aca="false">물고기!L23</f>
        <v>742.080745341615</v>
      </c>
      <c r="I68" s="31" t="str">
        <f aca="false">물고기!O23</f>
        <v>영웅</v>
      </c>
      <c r="J68" s="28" t="n">
        <f aca="false">E68*(1+가정!$B$27)^(-물고기!T23)</f>
        <v>8.12884214804654</v>
      </c>
      <c r="K68" s="28" t="n">
        <f aca="false">E68*(1+가정!$B$27)^(물고기!T23)</f>
        <v>49.2075</v>
      </c>
      <c r="M68" s="20" t="n">
        <f aca="false">J68/SUMIF($A$18:$A$74,A68,$J$18:$J$74)*H68</f>
        <v>177.389819603573</v>
      </c>
      <c r="N68" s="20" t="n">
        <f aca="false">K68/SUMIF($A$18:$A$74,A68,$K$18:$K$74)*H68</f>
        <v>152.41709788788</v>
      </c>
      <c r="O68" s="31" t="n">
        <f aca="false">물고기!E23</f>
        <v>30</v>
      </c>
      <c r="P68" s="31" t="n">
        <f aca="false">물고기!F23</f>
        <v>90</v>
      </c>
      <c r="Q68" s="5" t="n">
        <f aca="false">물고기!G23</f>
        <v>900</v>
      </c>
      <c r="R68" s="33" t="n">
        <f aca="false">물고기!I23</f>
        <v>60</v>
      </c>
      <c r="S68" s="31" t="n">
        <f aca="false">물고기!T23</f>
        <v>3</v>
      </c>
    </row>
    <row r="69" customFormat="false" ht="15" hidden="false" customHeight="false" outlineLevel="0" collapsed="false">
      <c r="A69" s="4" t="s">
        <v>338</v>
      </c>
      <c r="B69" s="4" t="s">
        <v>252</v>
      </c>
      <c r="C69" s="31" t="str">
        <f aca="false">물고기!B24</f>
        <v>방어</v>
      </c>
      <c r="D69" s="31" t="str">
        <f aca="false">물고기!C24</f>
        <v>릴낚시</v>
      </c>
      <c r="E69" s="32" t="n">
        <v>15</v>
      </c>
      <c r="F69" s="29" t="n">
        <f aca="false">E69/SUMIF($A$18:$A$74,A69,$E$18:$E$74)</f>
        <v>0.167597765363128</v>
      </c>
      <c r="G69" s="20" t="n">
        <f aca="false">F69*H69</f>
        <v>198.908489191159</v>
      </c>
      <c r="H69" s="5" t="n">
        <f aca="false">물고기!L24</f>
        <v>1186.82065217391</v>
      </c>
      <c r="I69" s="31" t="str">
        <f aca="false">물고기!O24</f>
        <v>전설</v>
      </c>
      <c r="J69" s="28" t="n">
        <f aca="false">E69*(1+가정!$B$27)^(-물고기!T24)</f>
        <v>6.0966316110349</v>
      </c>
      <c r="K69" s="28" t="n">
        <f aca="false">E69*(1+가정!$B$27)^(물고기!T24)</f>
        <v>36.905625</v>
      </c>
      <c r="M69" s="20" t="n">
        <f aca="false">J69/SUMIF($A$18:$A$74,A69,$J$18:$J$74)*H69</f>
        <v>212.776610947514</v>
      </c>
      <c r="N69" s="20" t="n">
        <f aca="false">K69/SUMIF($A$18:$A$74,A69,$K$18:$K$74)*H69</f>
        <v>182.822180052464</v>
      </c>
      <c r="O69" s="31" t="n">
        <f aca="false">물고기!E24</f>
        <v>50</v>
      </c>
      <c r="P69" s="31" t="n">
        <f aca="false">물고기!F24</f>
        <v>110</v>
      </c>
      <c r="Q69" s="5" t="n">
        <f aca="false">물고기!G24</f>
        <v>1400</v>
      </c>
      <c r="R69" s="33" t="n">
        <f aca="false">물고기!I24</f>
        <v>80</v>
      </c>
      <c r="S69" s="31" t="n">
        <f aca="false">물고기!T24</f>
        <v>3</v>
      </c>
    </row>
    <row r="70" customFormat="false" ht="15" hidden="false" customHeight="false" outlineLevel="0" collapsed="false">
      <c r="A70" s="4" t="s">
        <v>338</v>
      </c>
      <c r="B70" s="4" t="s">
        <v>254</v>
      </c>
      <c r="C70" s="31" t="str">
        <f aca="false">물고기!B25</f>
        <v>부시리</v>
      </c>
      <c r="D70" s="31" t="str">
        <f aca="false">물고기!C25</f>
        <v>릴낚시</v>
      </c>
      <c r="E70" s="32" t="n">
        <v>12</v>
      </c>
      <c r="F70" s="29" t="n">
        <f aca="false">E70/SUMIF($A$18:$A$74,A70,$E$18:$E$74)</f>
        <v>0.134078212290503</v>
      </c>
      <c r="G70" s="20" t="n">
        <f aca="false">F70*H70</f>
        <v>248.362816197647</v>
      </c>
      <c r="H70" s="5" t="n">
        <f aca="false">물고기!L25</f>
        <v>1852.37267080745</v>
      </c>
      <c r="I70" s="31" t="str">
        <f aca="false">물고기!O25</f>
        <v>전설</v>
      </c>
      <c r="J70" s="28" t="n">
        <f aca="false">E70*(1+가정!$B$27)^(-물고기!T25)</f>
        <v>4.87730528882792</v>
      </c>
      <c r="K70" s="28" t="n">
        <f aca="false">E70*(1+가정!$B$27)^(물고기!T25)</f>
        <v>29.5245</v>
      </c>
      <c r="M70" s="20" t="n">
        <f aca="false">J70/SUMIF($A$18:$A$74,A70,$J$18:$J$74)*H70</f>
        <v>265.678948801069</v>
      </c>
      <c r="N70" s="20" t="n">
        <f aca="false">K70/SUMIF($A$18:$A$74,A70,$K$18:$K$74)*H70</f>
        <v>228.27699152441</v>
      </c>
      <c r="O70" s="31" t="n">
        <f aca="false">물고기!E25</f>
        <v>60</v>
      </c>
      <c r="P70" s="31" t="n">
        <f aca="false">물고기!F25</f>
        <v>140</v>
      </c>
      <c r="Q70" s="5" t="n">
        <f aca="false">물고기!G25</f>
        <v>2200</v>
      </c>
      <c r="R70" s="33" t="n">
        <f aca="false">물고기!I25</f>
        <v>100</v>
      </c>
      <c r="S70" s="31" t="n">
        <f aca="false">물고기!T25</f>
        <v>3</v>
      </c>
    </row>
    <row r="71" customFormat="false" ht="15" hidden="false" customHeight="false" outlineLevel="0" collapsed="false">
      <c r="A71" s="4" t="s">
        <v>338</v>
      </c>
      <c r="B71" s="4" t="s">
        <v>303</v>
      </c>
      <c r="C71" s="31" t="str">
        <f aca="false">물고기!B49</f>
        <v>해운대 은갈치</v>
      </c>
      <c r="D71" s="31" t="str">
        <f aca="false">물고기!C49</f>
        <v>릴낚시</v>
      </c>
      <c r="E71" s="32" t="n">
        <v>20</v>
      </c>
      <c r="F71" s="29" t="n">
        <f aca="false">E71/SUMIF($A$18:$A$74,A71,$E$18:$E$74)</f>
        <v>0.223463687150838</v>
      </c>
      <c r="G71" s="20" t="n">
        <f aca="false">F71*H71</f>
        <v>345.327735174711</v>
      </c>
      <c r="H71" s="5" t="n">
        <f aca="false">물고기!L49</f>
        <v>1545.34161490683</v>
      </c>
      <c r="I71" s="31" t="str">
        <f aca="false">물고기!O49</f>
        <v>전설</v>
      </c>
      <c r="J71" s="28" t="n">
        <f aca="false">E71*(1+가정!$B$27)^(-물고기!T49)</f>
        <v>8.12884214804654</v>
      </c>
      <c r="K71" s="28" t="n">
        <f aca="false">E71*(1+가정!$B$27)^(물고기!T49)</f>
        <v>49.2075</v>
      </c>
      <c r="M71" s="20" t="n">
        <f aca="false">J71/SUMIF($A$18:$A$74,A71,$J$18:$J$74)*H71</f>
        <v>369.404370097251</v>
      </c>
      <c r="N71" s="20" t="n">
        <f aca="false">K71/SUMIF($A$18:$A$74,A71,$K$18:$K$74)*H71</f>
        <v>317.400074948772</v>
      </c>
      <c r="O71" s="31" t="n">
        <f aca="false">물고기!E49</f>
        <v>90</v>
      </c>
      <c r="P71" s="31" t="n">
        <f aca="false">물고기!F49</f>
        <v>180</v>
      </c>
      <c r="Q71" s="5" t="n">
        <f aca="false">물고기!G49</f>
        <v>1800</v>
      </c>
      <c r="R71" s="33" t="n">
        <f aca="false">물고기!I49</f>
        <v>135</v>
      </c>
      <c r="S71" s="31" t="n">
        <f aca="false">물고기!T49</f>
        <v>3</v>
      </c>
    </row>
    <row r="72" customFormat="false" ht="15" hidden="false" customHeight="false" outlineLevel="0" collapsed="false">
      <c r="A72" s="4" t="s">
        <v>338</v>
      </c>
      <c r="B72" s="4" t="s">
        <v>300</v>
      </c>
      <c r="C72" s="31" t="str">
        <f aca="false">물고기!B48</f>
        <v>황금 고등어</v>
      </c>
      <c r="D72" s="31" t="str">
        <f aca="false">물고기!C48</f>
        <v>릴낚시</v>
      </c>
      <c r="E72" s="32" t="n">
        <v>15</v>
      </c>
      <c r="F72" s="29" t="n">
        <f aca="false">E72/SUMIF($A$18:$A$74,A72,$E$18:$E$74)</f>
        <v>0.167597765363128</v>
      </c>
      <c r="G72" s="20" t="n">
        <f aca="false">F72*H72</f>
        <v>364.559088577065</v>
      </c>
      <c r="H72" s="5" t="n">
        <f aca="false">물고기!L48</f>
        <v>2175.20256184315</v>
      </c>
      <c r="I72" s="31" t="str">
        <f aca="false">물고기!O48</f>
        <v>전설</v>
      </c>
      <c r="J72" s="28" t="n">
        <f aca="false">E72*(1+가정!$B$27)^(-물고기!T48)</f>
        <v>4.51602341558141</v>
      </c>
      <c r="K72" s="28" t="n">
        <f aca="false">E72*(1+가정!$B$27)^(물고기!T48)</f>
        <v>49.82259375</v>
      </c>
      <c r="M72" s="20" t="n">
        <f aca="false">J72/SUMIF($A$18:$A$74,A72,$J$18:$J$74)*H72</f>
        <v>288.871522157125</v>
      </c>
      <c r="N72" s="20" t="n">
        <f aca="false">K72/SUMIF($A$18:$A$74,A72,$K$18:$K$74)*H72</f>
        <v>452.352779227973</v>
      </c>
      <c r="O72" s="31" t="n">
        <f aca="false">물고기!E48</f>
        <v>30</v>
      </c>
      <c r="P72" s="31" t="n">
        <f aca="false">물고기!F48</f>
        <v>55</v>
      </c>
      <c r="Q72" s="5" t="n">
        <f aca="false">물고기!G48</f>
        <v>2500</v>
      </c>
      <c r="R72" s="33" t="n">
        <f aca="false">물고기!I48</f>
        <v>42.5</v>
      </c>
      <c r="S72" s="31" t="n">
        <f aca="false">물고기!T48</f>
        <v>4</v>
      </c>
    </row>
    <row r="73" customFormat="false" ht="15" hidden="false" customHeight="false" outlineLevel="0" collapsed="false">
      <c r="A73" s="4" t="s">
        <v>338</v>
      </c>
      <c r="B73" s="4" t="s">
        <v>305</v>
      </c>
      <c r="C73" s="31" t="str">
        <f aca="false">물고기!B50</f>
        <v>태종대 다금바리</v>
      </c>
      <c r="D73" s="31" t="str">
        <f aca="false">물고기!C50</f>
        <v>찌낚시</v>
      </c>
      <c r="E73" s="32" t="n">
        <v>6</v>
      </c>
      <c r="F73" s="29" t="n">
        <f aca="false">E73/SUMIF($A$18:$A$74,A73,$E$18:$E$74)</f>
        <v>0.0670391061452514</v>
      </c>
      <c r="G73" s="20" t="n">
        <f aca="false">F73*H73</f>
        <v>337.666507257863</v>
      </c>
      <c r="H73" s="5" t="n">
        <f aca="false">물고기!L50</f>
        <v>5036.85873326313</v>
      </c>
      <c r="I73" s="31" t="str">
        <f aca="false">물고기!O50</f>
        <v>전설</v>
      </c>
      <c r="J73" s="28" t="n">
        <f aca="false">E73*(1+가정!$B$27)^(-물고기!T50)</f>
        <v>1.80640936623256</v>
      </c>
      <c r="K73" s="28" t="n">
        <f aca="false">E73*(1+가정!$B$27)^(물고기!T50)</f>
        <v>19.9290375</v>
      </c>
      <c r="M73" s="20" t="n">
        <f aca="false">J73/SUMIF($A$18:$A$74,A73,$J$18:$J$74)*H73</f>
        <v>267.562216906408</v>
      </c>
      <c r="N73" s="20" t="n">
        <f aca="false">K73/SUMIF($A$18:$A$74,A73,$K$18:$K$74)*H73</f>
        <v>418.98388435873</v>
      </c>
      <c r="O73" s="31" t="n">
        <f aca="false">물고기!E50</f>
        <v>50</v>
      </c>
      <c r="P73" s="31" t="n">
        <f aca="false">물고기!F50</f>
        <v>120</v>
      </c>
      <c r="Q73" s="5" t="n">
        <f aca="false">물고기!G50</f>
        <v>6000</v>
      </c>
      <c r="R73" s="33" t="n">
        <f aca="false">물고기!I50</f>
        <v>85</v>
      </c>
      <c r="S73" s="31" t="n">
        <f aca="false">물고기!T50</f>
        <v>4</v>
      </c>
    </row>
    <row r="74" customFormat="false" ht="15" hidden="false" customHeight="false" outlineLevel="0" collapsed="false">
      <c r="A74" s="4" t="s">
        <v>338</v>
      </c>
      <c r="B74" s="4" t="s">
        <v>307</v>
      </c>
      <c r="C74" s="31" t="str">
        <f aca="false">물고기!B51</f>
        <v>오륙도 돗돔</v>
      </c>
      <c r="D74" s="31" t="str">
        <f aca="false">물고기!C51</f>
        <v>릴낚시</v>
      </c>
      <c r="E74" s="32" t="n">
        <v>1.5</v>
      </c>
      <c r="F74" s="29" t="n">
        <f aca="false">E74/SUMIF($A$18:$A$74,A74,$E$18:$E$74)</f>
        <v>0.0167597765363129</v>
      </c>
      <c r="G74" s="20" t="n">
        <f aca="false">F74*H74</f>
        <v>284.154984558798</v>
      </c>
      <c r="H74" s="5" t="n">
        <f aca="false">물고기!L51</f>
        <v>16954.5807453416</v>
      </c>
      <c r="I74" s="31" t="str">
        <f aca="false">물고기!O51</f>
        <v>전설</v>
      </c>
      <c r="J74" s="28" t="n">
        <f aca="false">E74*(1+가정!$B$27)^(-물고기!T51)</f>
        <v>0.451602341558141</v>
      </c>
      <c r="K74" s="28" t="n">
        <f aca="false">E74*(1+가정!$B$27)^(물고기!T51)</f>
        <v>4.982259375</v>
      </c>
      <c r="M74" s="20" t="n">
        <f aca="false">J74/SUMIF($A$18:$A$74,A74,$J$18:$J$74)*H74</f>
        <v>225.160434865095</v>
      </c>
      <c r="N74" s="20" t="n">
        <f aca="false">K74/SUMIF($A$18:$A$74,A74,$K$18:$K$74)*H74</f>
        <v>352.585632958324</v>
      </c>
      <c r="O74" s="31" t="n">
        <f aca="false">물고기!E51</f>
        <v>100</v>
      </c>
      <c r="P74" s="31" t="n">
        <f aca="false">물고기!F51</f>
        <v>220</v>
      </c>
      <c r="Q74" s="5" t="n">
        <f aca="false">물고기!G51</f>
        <v>20000</v>
      </c>
      <c r="R74" s="33" t="n">
        <f aca="false">물고기!I51</f>
        <v>160</v>
      </c>
      <c r="S74" s="31" t="n">
        <f aca="false">물고기!T51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4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3" min="11" style="0" width="13"/>
    <col collapsed="false" customWidth="true" hidden="false" outlineLevel="0" max="19" min="14" style="0" width="12"/>
  </cols>
  <sheetData>
    <row r="1" customFormat="false" ht="20.1" hidden="false" customHeight="false" outlineLevel="0" collapsed="false">
      <c r="A1" s="1" t="s">
        <v>350</v>
      </c>
    </row>
    <row r="2" customFormat="false" ht="15" hidden="false" customHeight="false" outlineLevel="0" collapsed="false">
      <c r="A2" s="2" t="s">
        <v>351</v>
      </c>
    </row>
    <row r="3" customFormat="false" ht="15" hidden="false" customHeight="false" outlineLevel="0" collapsed="false">
      <c r="A3" s="2" t="s">
        <v>352</v>
      </c>
    </row>
    <row r="5" customFormat="false" ht="31.5" hidden="false" customHeight="true" outlineLevel="0" collapsed="false">
      <c r="A5" s="3" t="s">
        <v>125</v>
      </c>
      <c r="B5" s="3" t="s">
        <v>126</v>
      </c>
      <c r="C5" s="3" t="s">
        <v>353</v>
      </c>
      <c r="D5" s="3" t="s">
        <v>128</v>
      </c>
      <c r="E5" s="3" t="s">
        <v>354</v>
      </c>
      <c r="F5" s="3" t="s">
        <v>355</v>
      </c>
      <c r="G5" s="3" t="s">
        <v>356</v>
      </c>
      <c r="H5" s="3" t="s">
        <v>357</v>
      </c>
      <c r="I5" s="3" t="s">
        <v>358</v>
      </c>
      <c r="J5" s="3" t="s">
        <v>359</v>
      </c>
      <c r="K5" s="3" t="s">
        <v>360</v>
      </c>
      <c r="L5" s="3" t="s">
        <v>361</v>
      </c>
      <c r="M5" s="3" t="s">
        <v>362</v>
      </c>
      <c r="N5" s="3" t="s">
        <v>363</v>
      </c>
      <c r="O5" s="3" t="s">
        <v>364</v>
      </c>
      <c r="P5" s="3" t="s">
        <v>365</v>
      </c>
      <c r="Q5" s="3" t="s">
        <v>366</v>
      </c>
      <c r="R5" s="3" t="s">
        <v>367</v>
      </c>
      <c r="S5" s="3" t="s">
        <v>368</v>
      </c>
    </row>
    <row r="6" customFormat="false" ht="15" hidden="false" customHeight="false" outlineLevel="0" collapsed="false">
      <c r="A6" s="14" t="n">
        <v>1</v>
      </c>
      <c r="B6" s="11" t="s">
        <v>369</v>
      </c>
      <c r="C6" s="12" t="n">
        <v>4000</v>
      </c>
      <c r="D6" s="20" t="n">
        <f aca="false">SUM($C$6:C6)</f>
        <v>4000</v>
      </c>
      <c r="E6" s="32" t="n">
        <v>-0.5</v>
      </c>
      <c r="F6" s="21" t="n">
        <v>0</v>
      </c>
      <c r="G6" s="28" t="n">
        <f aca="false">MAX(0.9,가정!$B$5-F6*가정!$B$6)</f>
        <v>1.8</v>
      </c>
      <c r="H6" s="9" t="n">
        <v>90</v>
      </c>
      <c r="I6" s="9" t="n">
        <v>4</v>
      </c>
      <c r="J6" s="27" t="n">
        <f aca="false">H6*I6/60</f>
        <v>6</v>
      </c>
      <c r="K6" s="20" t="n">
        <f aca="false">SUMPRODUCT((낚시터!$A$18:$A$74="강")*낚시터!$E$18:$E$74*(1+$F6*낚시터!$S$18:$S$74*가정!$B$7)*(1+가정!$B$27)^($E6*낚시터!$S$18:$S$74)*낚시터!$Q$18:$Q$74*(낚시터!$O$18:$O$74^2+2*낚시터!$O$18:$O$74*(낚시터!$P$18:$P$74-낚시터!$O$18:$O$74)/(1+$G6)+(낚시터!$P$18:$P$74-낚시터!$O$18:$O$74)^2/(1+2*$G6))/낚시터!$R$18:$R$74^2)/SUMPRODUCT((낚시터!$A$18:$A$74="강")*낚시터!$E$18:$E$74*(1+$F6*낚시터!$S$18:$S$74*가정!$B$7)*(1+가정!$B$27)^($E6*낚시터!$S$18:$S$74))</f>
        <v>40.1249414961122</v>
      </c>
      <c r="L6" s="20" t="n">
        <f aca="false">SUMPRODUCT((낚시터!$A$18:$A$74="배낚시")*낚시터!$E$18:$E$74*(1+$F6*낚시터!$S$18:$S$74*가정!$B$7)*(1+가정!$B$27)^($E6*낚시터!$S$18:$S$74)*낚시터!$Q$18:$Q$74*(낚시터!$O$18:$O$74^2+2*낚시터!$O$18:$O$74*(낚시터!$P$18:$P$74-낚시터!$O$18:$O$74)/(1+$G6)+(낚시터!$P$18:$P$74-낚시터!$O$18:$O$74)^2/(1+2*$G6))/낚시터!$R$18:$R$74^2)/SUMPRODUCT((낚시터!$A$18:$A$74="배낚시")*낚시터!$E$18:$E$74*(1+$F6*낚시터!$S$18:$S$74*가정!$B$7)*(1+가정!$B$27)^($E6*낚시터!$S$18:$S$74))</f>
        <v>669.037825681728</v>
      </c>
      <c r="M6" s="20" t="n">
        <f aca="false">SUMPRODUCT((낚시터!$A$18:$A$74="알래스카")*낚시터!$E$18:$E$74*(1+$F6*낚시터!$S$18:$S$74*가정!$B$7)*(1+가정!$B$27)^($E6*낚시터!$S$18:$S$74)*낚시터!$Q$18:$Q$74*(낚시터!$O$18:$O$74^2+2*낚시터!$O$18:$O$74*(낚시터!$P$18:$P$74-낚시터!$O$18:$O$74)/(1+$G6)+(낚시터!$P$18:$P$74-낚시터!$O$18:$O$74)^2/(1+2*$G6))/낚시터!$R$18:$R$74^2)/SUMPRODUCT((낚시터!$A$18:$A$74="알래스카")*낚시터!$E$18:$E$74*(1+$F6*낚시터!$S$18:$S$74*가정!$B$7)*(1+가정!$B$27)^($E6*낚시터!$S$18:$S$74))</f>
        <v>1943.42125773923</v>
      </c>
      <c r="N6" s="20" t="n">
        <f aca="false">K6/$H6*60</f>
        <v>26.7499609974081</v>
      </c>
      <c r="O6" s="20" t="n">
        <f aca="false">L6/$H6*60</f>
        <v>446.025217121152</v>
      </c>
      <c r="P6" s="20" t="n">
        <f aca="false">M6/$H6*60</f>
        <v>1295.61417182616</v>
      </c>
      <c r="Q6" s="24" t="n">
        <f aca="false">C6/N6</f>
        <v>149.532928305487</v>
      </c>
      <c r="R6" s="24" t="n">
        <f aca="false">C6/O6</f>
        <v>8.96810280328499</v>
      </c>
      <c r="S6" s="24" t="n">
        <f aca="false">C6/P6</f>
        <v>3.08733887524713</v>
      </c>
    </row>
    <row r="7" customFormat="false" ht="15" hidden="false" customHeight="false" outlineLevel="0" collapsed="false">
      <c r="A7" s="14" t="n">
        <v>2</v>
      </c>
      <c r="B7" s="11" t="s">
        <v>370</v>
      </c>
      <c r="C7" s="12" t="n">
        <v>16000</v>
      </c>
      <c r="D7" s="20" t="n">
        <f aca="false">SUM($C$6:C7)</f>
        <v>20000</v>
      </c>
      <c r="E7" s="32" t="n">
        <v>0</v>
      </c>
      <c r="F7" s="21" t="n">
        <v>0.1</v>
      </c>
      <c r="G7" s="28" t="n">
        <f aca="false">MAX(0.9,가정!$B$5-F7*가정!$B$6)</f>
        <v>1.74</v>
      </c>
      <c r="H7" s="9" t="n">
        <v>75</v>
      </c>
      <c r="I7" s="9" t="n">
        <v>6</v>
      </c>
      <c r="J7" s="27" t="n">
        <f aca="false">H7*I7/60</f>
        <v>7.5</v>
      </c>
      <c r="K7" s="20" t="n">
        <f aca="false">SUMPRODUCT((낚시터!$A$18:$A$74="강")*낚시터!$E$18:$E$74*(1+$F7*낚시터!$S$18:$S$74*가정!$B$7)*(1+가정!$B$27)^($E7*낚시터!$S$18:$S$74)*낚시터!$Q$18:$Q$74*(낚시터!$O$18:$O$74^2+2*낚시터!$O$18:$O$74*(낚시터!$P$18:$P$74-낚시터!$O$18:$O$74)/(1+$G7)+(낚시터!$P$18:$P$74-낚시터!$O$18:$O$74)^2/(1+2*$G7))/낚시터!$R$18:$R$74^2)/SUMPRODUCT((낚시터!$A$18:$A$74="강")*낚시터!$E$18:$E$74*(1+$F7*낚시터!$S$18:$S$74*가정!$B$7)*(1+가정!$B$27)^($E7*낚시터!$S$18:$S$74))</f>
        <v>49.5180852401902</v>
      </c>
      <c r="L7" s="20" t="n">
        <f aca="false">SUMPRODUCT((낚시터!$A$18:$A$74="배낚시")*낚시터!$E$18:$E$74*(1+$F7*낚시터!$S$18:$S$74*가정!$B$7)*(1+가정!$B$27)^($E7*낚시터!$S$18:$S$74)*낚시터!$Q$18:$Q$74*(낚시터!$O$18:$O$74^2+2*낚시터!$O$18:$O$74*(낚시터!$P$18:$P$74-낚시터!$O$18:$O$74)/(1+$G7)+(낚시터!$P$18:$P$74-낚시터!$O$18:$O$74)^2/(1+2*$G7))/낚시터!$R$18:$R$74^2)/SUMPRODUCT((낚시터!$A$18:$A$74="배낚시")*낚시터!$E$18:$E$74*(1+$F7*낚시터!$S$18:$S$74*가정!$B$7)*(1+가정!$B$27)^($E7*낚시터!$S$18:$S$74))</f>
        <v>789.785857921675</v>
      </c>
      <c r="M7" s="20" t="n">
        <f aca="false">SUMPRODUCT((낚시터!$A$18:$A$74="알래스카")*낚시터!$E$18:$E$74*(1+$F7*낚시터!$S$18:$S$74*가정!$B$7)*(1+가정!$B$27)^($E7*낚시터!$S$18:$S$74)*낚시터!$Q$18:$Q$74*(낚시터!$O$18:$O$74^2+2*낚시터!$O$18:$O$74*(낚시터!$P$18:$P$74-낚시터!$O$18:$O$74)/(1+$G7)+(낚시터!$P$18:$P$74-낚시터!$O$18:$O$74)^2/(1+2*$G7))/낚시터!$R$18:$R$74^2)/SUMPRODUCT((낚시터!$A$18:$A$74="알래스카")*낚시터!$E$18:$E$74*(1+$F7*낚시터!$S$18:$S$74*가정!$B$7)*(1+가정!$B$27)^($E7*낚시터!$S$18:$S$74))</f>
        <v>2047.66660891691</v>
      </c>
      <c r="N7" s="20" t="n">
        <f aca="false">K7/$H7*60</f>
        <v>39.6144681921522</v>
      </c>
      <c r="O7" s="20" t="n">
        <f aca="false">L7/$H7*60</f>
        <v>631.82868633734</v>
      </c>
      <c r="P7" s="20" t="n">
        <f aca="false">M7/$H7*60</f>
        <v>1638.13328713353</v>
      </c>
      <c r="Q7" s="24" t="n">
        <f aca="false">C7/N7</f>
        <v>403.892838404169</v>
      </c>
      <c r="R7" s="24" t="n">
        <f aca="false">C7/O7</f>
        <v>25.3233199852807</v>
      </c>
      <c r="S7" s="24" t="n">
        <f aca="false">C7/P7</f>
        <v>9.7672149913988</v>
      </c>
    </row>
    <row r="8" customFormat="false" ht="15" hidden="false" customHeight="false" outlineLevel="0" collapsed="false">
      <c r="A8" s="14" t="n">
        <v>3</v>
      </c>
      <c r="B8" s="11" t="s">
        <v>371</v>
      </c>
      <c r="C8" s="12" t="n">
        <v>50000</v>
      </c>
      <c r="D8" s="20" t="n">
        <f aca="false">SUM($C$6:C8)</f>
        <v>70000</v>
      </c>
      <c r="E8" s="32" t="n">
        <v>0.5</v>
      </c>
      <c r="F8" s="21" t="n">
        <v>0.2</v>
      </c>
      <c r="G8" s="28" t="n">
        <f aca="false">MAX(0.9,가정!$B$5-F8*가정!$B$6)</f>
        <v>1.68</v>
      </c>
      <c r="H8" s="9" t="n">
        <v>60</v>
      </c>
      <c r="I8" s="9" t="n">
        <v>8</v>
      </c>
      <c r="J8" s="27" t="n">
        <f aca="false">H8*I8/60</f>
        <v>8</v>
      </c>
      <c r="K8" s="20" t="n">
        <f aca="false">SUMPRODUCT((낚시터!$A$18:$A$74="강")*낚시터!$E$18:$E$74*(1+$F8*낚시터!$S$18:$S$74*가정!$B$7)*(1+가정!$B$27)^($E8*낚시터!$S$18:$S$74)*낚시터!$Q$18:$Q$74*(낚시터!$O$18:$O$74^2+2*낚시터!$O$18:$O$74*(낚시터!$P$18:$P$74-낚시터!$O$18:$O$74)/(1+$G8)+(낚시터!$P$18:$P$74-낚시터!$O$18:$O$74)^2/(1+2*$G8))/낚시터!$R$18:$R$74^2)/SUMPRODUCT((낚시터!$A$18:$A$74="강")*낚시터!$E$18:$E$74*(1+$F8*낚시터!$S$18:$S$74*가정!$B$7)*(1+가정!$B$27)^($E8*낚시터!$S$18:$S$74))</f>
        <v>61.9406825153851</v>
      </c>
      <c r="L8" s="20" t="n">
        <f aca="false">SUMPRODUCT((낚시터!$A$18:$A$74="배낚시")*낚시터!$E$18:$E$74*(1+$F8*낚시터!$S$18:$S$74*가정!$B$7)*(1+가정!$B$27)^($E8*낚시터!$S$18:$S$74)*낚시터!$Q$18:$Q$74*(낚시터!$O$18:$O$74^2+2*낚시터!$O$18:$O$74*(낚시터!$P$18:$P$74-낚시터!$O$18:$O$74)/(1+$G8)+(낚시터!$P$18:$P$74-낚시터!$O$18:$O$74)^2/(1+2*$G8))/낚시터!$R$18:$R$74^2)/SUMPRODUCT((낚시터!$A$18:$A$74="배낚시")*낚시터!$E$18:$E$74*(1+$F8*낚시터!$S$18:$S$74*가정!$B$7)*(1+가정!$B$27)^($E8*낚시터!$S$18:$S$74))</f>
        <v>922.671797924911</v>
      </c>
      <c r="M8" s="20" t="n">
        <f aca="false">SUMPRODUCT((낚시터!$A$18:$A$74="알래스카")*낚시터!$E$18:$E$74*(1+$F8*낚시터!$S$18:$S$74*가정!$B$7)*(1+가정!$B$27)^($E8*낚시터!$S$18:$S$74)*낚시터!$Q$18:$Q$74*(낚시터!$O$18:$O$74^2+2*낚시터!$O$18:$O$74*(낚시터!$P$18:$P$74-낚시터!$O$18:$O$74)/(1+$G8)+(낚시터!$P$18:$P$74-낚시터!$O$18:$O$74)^2/(1+2*$G8))/낚시터!$R$18:$R$74^2)/SUMPRODUCT((낚시터!$A$18:$A$74="알래스카")*낚시터!$E$18:$E$74*(1+$F8*낚시터!$S$18:$S$74*가정!$B$7)*(1+가정!$B$27)^($E8*낚시터!$S$18:$S$74))</f>
        <v>2161.70581095591</v>
      </c>
      <c r="N8" s="20" t="n">
        <f aca="false">K8/$H8*60</f>
        <v>61.9406825153851</v>
      </c>
      <c r="O8" s="20" t="n">
        <f aca="false">L8/$H8*60</f>
        <v>922.671797924911</v>
      </c>
      <c r="P8" s="20" t="n">
        <f aca="false">M8/$H8*60</f>
        <v>2161.70581095591</v>
      </c>
      <c r="Q8" s="24" t="n">
        <f aca="false">C8/N8</f>
        <v>807.223911160178</v>
      </c>
      <c r="R8" s="24" t="n">
        <f aca="false">C8/O8</f>
        <v>54.1904500738508</v>
      </c>
      <c r="S8" s="24" t="n">
        <f aca="false">C8/P8</f>
        <v>23.1298818491355</v>
      </c>
    </row>
    <row r="9" customFormat="false" ht="15" hidden="false" customHeight="false" outlineLevel="0" collapsed="false">
      <c r="A9" s="14" t="n">
        <v>4</v>
      </c>
      <c r="B9" s="11" t="s">
        <v>372</v>
      </c>
      <c r="C9" s="12" t="n">
        <v>125000</v>
      </c>
      <c r="D9" s="20" t="n">
        <f aca="false">SUM($C$6:C9)</f>
        <v>195000</v>
      </c>
      <c r="E9" s="32" t="n">
        <v>1</v>
      </c>
      <c r="F9" s="21" t="n">
        <v>0.35</v>
      </c>
      <c r="G9" s="28" t="n">
        <f aca="false">MAX(0.9,가정!$B$5-F9*가정!$B$6)</f>
        <v>1.59</v>
      </c>
      <c r="H9" s="9" t="n">
        <v>45</v>
      </c>
      <c r="I9" s="9" t="n">
        <v>10</v>
      </c>
      <c r="J9" s="27" t="n">
        <f aca="false">H9*I9/60</f>
        <v>7.5</v>
      </c>
      <c r="K9" s="20" t="n">
        <f aca="false">SUMPRODUCT((낚시터!$A$18:$A$74="강")*낚시터!$E$18:$E$74*(1+$F9*낚시터!$S$18:$S$74*가정!$B$7)*(1+가정!$B$27)^($E9*낚시터!$S$18:$S$74)*낚시터!$Q$18:$Q$74*(낚시터!$O$18:$O$74^2+2*낚시터!$O$18:$O$74*(낚시터!$P$18:$P$74-낚시터!$O$18:$O$74)/(1+$G9)+(낚시터!$P$18:$P$74-낚시터!$O$18:$O$74)^2/(1+2*$G9))/낚시터!$R$18:$R$74^2)/SUMPRODUCT((낚시터!$A$18:$A$74="강")*낚시터!$E$18:$E$74*(1+$F9*낚시터!$S$18:$S$74*가정!$B$7)*(1+가정!$B$27)^($E9*낚시터!$S$18:$S$74))</f>
        <v>80.4270102664426</v>
      </c>
      <c r="L9" s="20" t="n">
        <f aca="false">SUMPRODUCT((낚시터!$A$18:$A$74="배낚시")*낚시터!$E$18:$E$74*(1+$F9*낚시터!$S$18:$S$74*가정!$B$7)*(1+가정!$B$27)^($E9*낚시터!$S$18:$S$74)*낚시터!$Q$18:$Q$74*(낚시터!$O$18:$O$74^2+2*낚시터!$O$18:$O$74*(낚시터!$P$18:$P$74-낚시터!$O$18:$O$74)/(1+$G9)+(낚시터!$P$18:$P$74-낚시터!$O$18:$O$74)^2/(1+2*$G9))/낚시터!$R$18:$R$74^2)/SUMPRODUCT((낚시터!$A$18:$A$74="배낚시")*낚시터!$E$18:$E$74*(1+$F9*낚시터!$S$18:$S$74*가정!$B$7)*(1+가정!$B$27)^($E9*낚시터!$S$18:$S$74))</f>
        <v>1083.78606344074</v>
      </c>
      <c r="M9" s="20" t="n">
        <f aca="false">SUMPRODUCT((낚시터!$A$18:$A$74="알래스카")*낚시터!$E$18:$E$74*(1+$F9*낚시터!$S$18:$S$74*가정!$B$7)*(1+가정!$B$27)^($E9*낚시터!$S$18:$S$74)*낚시터!$Q$18:$Q$74*(낚시터!$O$18:$O$74^2+2*낚시터!$O$18:$O$74*(낚시터!$P$18:$P$74-낚시터!$O$18:$O$74)/(1+$G9)+(낚시터!$P$18:$P$74-낚시터!$O$18:$O$74)^2/(1+2*$G9))/낚시터!$R$18:$R$74^2)/SUMPRODUCT((낚시터!$A$18:$A$74="알래스카")*낚시터!$E$18:$E$74*(1+$F9*낚시터!$S$18:$S$74*가정!$B$7)*(1+가정!$B$27)^($E9*낚시터!$S$18:$S$74))</f>
        <v>2306.90757452297</v>
      </c>
      <c r="N9" s="20" t="n">
        <f aca="false">K9/$H9*60</f>
        <v>107.23601368859</v>
      </c>
      <c r="O9" s="20" t="n">
        <f aca="false">L9/$H9*60</f>
        <v>1445.04808458766</v>
      </c>
      <c r="P9" s="20" t="n">
        <f aca="false">M9/$H9*60</f>
        <v>3075.87676603062</v>
      </c>
      <c r="Q9" s="24" t="n">
        <f aca="false">C9/N9</f>
        <v>1165.65317658111</v>
      </c>
      <c r="R9" s="24" t="n">
        <f aca="false">C9/O9</f>
        <v>86.5023118145364</v>
      </c>
      <c r="S9" s="24" t="n">
        <f aca="false">C9/P9</f>
        <v>40.63881927276</v>
      </c>
    </row>
    <row r="10" customFormat="false" ht="15" hidden="false" customHeight="false" outlineLevel="0" collapsed="false">
      <c r="A10" s="14" t="n">
        <v>5</v>
      </c>
      <c r="B10" s="11" t="s">
        <v>373</v>
      </c>
      <c r="C10" s="12" t="n">
        <v>340000</v>
      </c>
      <c r="D10" s="20" t="n">
        <f aca="false">SUM($C$6:C10)</f>
        <v>535000</v>
      </c>
      <c r="E10" s="32" t="n">
        <v>1.6</v>
      </c>
      <c r="F10" s="21" t="n">
        <v>0.5</v>
      </c>
      <c r="G10" s="28" t="n">
        <f aca="false">MAX(0.9,가정!$B$5-F10*가정!$B$6)</f>
        <v>1.5</v>
      </c>
      <c r="H10" s="9" t="n">
        <v>30</v>
      </c>
      <c r="I10" s="9" t="n">
        <v>12</v>
      </c>
      <c r="J10" s="27" t="n">
        <f aca="false">H10*I10/60</f>
        <v>6</v>
      </c>
      <c r="K10" s="20" t="n">
        <f aca="false">SUMPRODUCT((낚시터!$A$18:$A$74="강")*낚시터!$E$18:$E$74*(1+$F10*낚시터!$S$18:$S$74*가정!$B$7)*(1+가정!$B$27)^($E10*낚시터!$S$18:$S$74)*낚시터!$Q$18:$Q$74*(낚시터!$O$18:$O$74^2+2*낚시터!$O$18:$O$74*(낚시터!$P$18:$P$74-낚시터!$O$18:$O$74)/(1+$G10)+(낚시터!$P$18:$P$74-낚시터!$O$18:$O$74)^2/(1+2*$G10))/낚시터!$R$18:$R$74^2)/SUMPRODUCT((낚시터!$A$18:$A$74="강")*낚시터!$E$18:$E$74*(1+$F10*낚시터!$S$18:$S$74*가정!$B$7)*(1+가정!$B$27)^($E10*낚시터!$S$18:$S$74))</f>
        <v>109.708620355131</v>
      </c>
      <c r="L10" s="20" t="n">
        <f aca="false">SUMPRODUCT((낚시터!$A$18:$A$74="배낚시")*낚시터!$E$18:$E$74*(1+$F10*낚시터!$S$18:$S$74*가정!$B$7)*(1+가정!$B$27)^($E10*낚시터!$S$18:$S$74)*낚시터!$Q$18:$Q$74*(낚시터!$O$18:$O$74^2+2*낚시터!$O$18:$O$74*(낚시터!$P$18:$P$74-낚시터!$O$18:$O$74)/(1+$G10)+(낚시터!$P$18:$P$74-낚시터!$O$18:$O$74)^2/(1+2*$G10))/낚시터!$R$18:$R$74^2)/SUMPRODUCT((낚시터!$A$18:$A$74="배낚시")*낚시터!$E$18:$E$74*(1+$F10*낚시터!$S$18:$S$74*가정!$B$7)*(1+가정!$B$27)^($E10*낚시터!$S$18:$S$74))</f>
        <v>1284.16349788298</v>
      </c>
      <c r="M10" s="20" t="n">
        <f aca="false">SUMPRODUCT((낚시터!$A$18:$A$74="알래스카")*낚시터!$E$18:$E$74*(1+$F10*낚시터!$S$18:$S$74*가정!$B$7)*(1+가정!$B$27)^($E10*낚시터!$S$18:$S$74)*낚시터!$Q$18:$Q$74*(낚시터!$O$18:$O$74^2+2*낚시터!$O$18:$O$74*(낚시터!$P$18:$P$74-낚시터!$O$18:$O$74)/(1+$G10)+(낚시터!$P$18:$P$74-낚시터!$O$18:$O$74)^2/(1+2*$G10))/낚시터!$R$18:$R$74^2)/SUMPRODUCT((낚시터!$A$18:$A$74="알래스카")*낚시터!$E$18:$E$74*(1+$F10*낚시터!$S$18:$S$74*가정!$B$7)*(1+가정!$B$27)^($E10*낚시터!$S$18:$S$74))</f>
        <v>2485.43646738524</v>
      </c>
      <c r="N10" s="20" t="n">
        <f aca="false">K10/$H10*60</f>
        <v>219.417240710263</v>
      </c>
      <c r="O10" s="20" t="n">
        <f aca="false">L10/$H10*60</f>
        <v>2568.32699576596</v>
      </c>
      <c r="P10" s="20" t="n">
        <f aca="false">M10/$H10*60</f>
        <v>4970.87293477048</v>
      </c>
      <c r="Q10" s="24" t="n">
        <f aca="false">C10/N10</f>
        <v>1549.55918185557</v>
      </c>
      <c r="R10" s="24" t="n">
        <f aca="false">C10/O10</f>
        <v>132.381897071716</v>
      </c>
      <c r="S10" s="24" t="n">
        <f aca="false">C10/P10</f>
        <v>68.3984492183964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0"/>
  </cols>
  <sheetData>
    <row r="1" customFormat="false" ht="16.15" hidden="false" customHeight="false" outlineLevel="0" collapsed="false">
      <c r="A1" s="1" t="s">
        <v>374</v>
      </c>
    </row>
    <row r="2" customFormat="false" ht="15" hidden="false" customHeight="false" outlineLevel="0" collapsed="false">
      <c r="A2" s="2" t="s">
        <v>375</v>
      </c>
    </row>
    <row r="3" customFormat="false" ht="15" hidden="false" customHeight="false" outlineLevel="0" collapsed="false">
      <c r="A3" s="2" t="s">
        <v>376</v>
      </c>
    </row>
    <row r="4" customFormat="false" ht="15" hidden="false" customHeight="false" outlineLevel="0" collapsed="false">
      <c r="A4" s="4" t="s">
        <v>377</v>
      </c>
      <c r="B4" s="32" t="n">
        <v>1.2</v>
      </c>
      <c r="C4" s="4" t="s">
        <v>378</v>
      </c>
      <c r="D4" s="21" t="n">
        <v>0.6</v>
      </c>
      <c r="E4" s="4" t="s">
        <v>379</v>
      </c>
      <c r="F4" s="22" t="n">
        <v>0.7</v>
      </c>
    </row>
    <row r="6" customFormat="false" ht="31.5" hidden="false" customHeight="true" outlineLevel="0" collapsed="false">
      <c r="A6" s="3" t="s">
        <v>312</v>
      </c>
      <c r="B6" s="3" t="s">
        <v>380</v>
      </c>
      <c r="C6" s="3" t="s">
        <v>381</v>
      </c>
      <c r="D6" s="3" t="s">
        <v>196</v>
      </c>
      <c r="E6" s="3" t="s">
        <v>197</v>
      </c>
      <c r="F6" s="3" t="s">
        <v>198</v>
      </c>
      <c r="G6" s="3" t="s">
        <v>382</v>
      </c>
      <c r="H6" s="3" t="s">
        <v>383</v>
      </c>
      <c r="I6" s="3" t="s">
        <v>200</v>
      </c>
      <c r="J6" s="3" t="s">
        <v>384</v>
      </c>
      <c r="K6" s="3" t="s">
        <v>385</v>
      </c>
      <c r="L6" s="3" t="s">
        <v>386</v>
      </c>
      <c r="M6" s="3" t="s">
        <v>387</v>
      </c>
      <c r="N6" s="3" t="s">
        <v>388</v>
      </c>
    </row>
    <row r="7" customFormat="false" ht="15" hidden="false" customHeight="false" outlineLevel="0" collapsed="false">
      <c r="A7" s="31" t="str">
        <f aca="false">낚시터!B6</f>
        <v>하천</v>
      </c>
      <c r="B7" s="11" t="s">
        <v>389</v>
      </c>
      <c r="C7" s="4" t="s">
        <v>265</v>
      </c>
      <c r="D7" s="9" t="n">
        <v>45</v>
      </c>
      <c r="E7" s="9" t="n">
        <v>60</v>
      </c>
      <c r="F7" s="12" t="n">
        <v>1500</v>
      </c>
      <c r="G7" s="9" t="n">
        <v>30</v>
      </c>
      <c r="H7" s="22" t="n">
        <v>0.74</v>
      </c>
      <c r="I7" s="27" t="n">
        <f aca="false">(D7+E7)/2</f>
        <v>52.5</v>
      </c>
      <c r="J7" s="20" t="n">
        <f aca="false">F7*(D7^2+2*D7*(E7-D7)/(1+$B$4)+(E7-D7)^2/(1+2*$B$4))/I7^2</f>
        <v>1472.00698461203</v>
      </c>
      <c r="K7" s="20" t="n">
        <f aca="false">G7*낚시터!F6</f>
        <v>687.180044062907</v>
      </c>
      <c r="L7" s="34" t="n">
        <f aca="false">J7/K7</f>
        <v>2.14209798047813</v>
      </c>
      <c r="M7" s="28" t="n">
        <f aca="false">0.08*H7^2*1.5</f>
        <v>0.065712</v>
      </c>
      <c r="N7" s="28" t="n">
        <f aca="false">0.28*H7^2*1.5</f>
        <v>0.229992</v>
      </c>
    </row>
    <row r="8" customFormat="false" ht="15" hidden="false" customHeight="false" outlineLevel="0" collapsed="false">
      <c r="A8" s="31" t="str">
        <f aca="false">낚시터!B7</f>
        <v>강</v>
      </c>
      <c r="B8" s="11" t="s">
        <v>390</v>
      </c>
      <c r="C8" s="4" t="s">
        <v>222</v>
      </c>
      <c r="D8" s="9" t="n">
        <v>180</v>
      </c>
      <c r="E8" s="9" t="n">
        <v>240</v>
      </c>
      <c r="F8" s="12" t="n">
        <v>4000</v>
      </c>
      <c r="G8" s="9" t="n">
        <v>30</v>
      </c>
      <c r="H8" s="22" t="n">
        <v>0.8</v>
      </c>
      <c r="I8" s="27" t="n">
        <f aca="false">(D8+E8)/2</f>
        <v>210</v>
      </c>
      <c r="J8" s="20" t="n">
        <f aca="false">F8*(D8^2+2*D8*(E8-D8)/(1+$B$4)+(E8-D8)^2/(1+2*$B$4))/I8^2</f>
        <v>3925.3519589654</v>
      </c>
      <c r="K8" s="20" t="n">
        <f aca="false">G8*낚시터!F7</f>
        <v>1410.44600942809</v>
      </c>
      <c r="L8" s="34" t="n">
        <f aca="false">J8/K8</f>
        <v>2.78305722638548</v>
      </c>
      <c r="M8" s="28" t="n">
        <f aca="false">0.08*H8^2*1.5</f>
        <v>0.0768</v>
      </c>
      <c r="N8" s="28" t="n">
        <f aca="false">0.28*H8^2*1.5</f>
        <v>0.2688</v>
      </c>
    </row>
    <row r="9" customFormat="false" ht="15" hidden="false" customHeight="false" outlineLevel="0" collapsed="false">
      <c r="A9" s="31" t="str">
        <f aca="false">낚시터!B8</f>
        <v>방파제</v>
      </c>
      <c r="B9" s="11" t="s">
        <v>391</v>
      </c>
      <c r="C9" s="4" t="s">
        <v>245</v>
      </c>
      <c r="D9" s="9" t="n">
        <v>90</v>
      </c>
      <c r="E9" s="9" t="n">
        <v>120</v>
      </c>
      <c r="F9" s="12" t="n">
        <v>9000</v>
      </c>
      <c r="G9" s="9" t="n">
        <v>30</v>
      </c>
      <c r="H9" s="22" t="n">
        <v>0.86</v>
      </c>
      <c r="I9" s="27" t="n">
        <f aca="false">(D9+E9)/2</f>
        <v>105</v>
      </c>
      <c r="J9" s="20" t="n">
        <f aca="false">F9*(D9^2+2*D9*(E9-D9)/(1+$B$4)+(E9-D9)^2/(1+2*$B$4))/I9^2</f>
        <v>8832.04190767216</v>
      </c>
      <c r="K9" s="20" t="n">
        <f aca="false">G9*낚시터!F8</f>
        <v>3666.64612443758</v>
      </c>
      <c r="L9" s="34" t="n">
        <f aca="false">J9/K9</f>
        <v>2.40875219694862</v>
      </c>
      <c r="M9" s="28" t="n">
        <f aca="false">0.08*H9^2*1.5</f>
        <v>0.088752</v>
      </c>
      <c r="N9" s="28" t="n">
        <f aca="false">0.28*H9^2*1.5</f>
        <v>0.310632</v>
      </c>
    </row>
    <row r="10" customFormat="false" ht="15" hidden="false" customHeight="false" outlineLevel="0" collapsed="false">
      <c r="A10" s="31" t="str">
        <f aca="false">낚시터!B9</f>
        <v>독도</v>
      </c>
      <c r="B10" s="11" t="s">
        <v>392</v>
      </c>
      <c r="C10" s="4" t="s">
        <v>273</v>
      </c>
      <c r="D10" s="9" t="n">
        <v>120</v>
      </c>
      <c r="E10" s="9" t="n">
        <v>160</v>
      </c>
      <c r="F10" s="12" t="n">
        <v>20000</v>
      </c>
      <c r="G10" s="9" t="n">
        <v>30</v>
      </c>
      <c r="H10" s="22" t="n">
        <v>0.9</v>
      </c>
      <c r="I10" s="27" t="n">
        <f aca="false">(D10+E10)/2</f>
        <v>140</v>
      </c>
      <c r="J10" s="20" t="n">
        <f aca="false">F10*(D10^2+2*D10*(E10-D10)/(1+$B$4)+(E10-D10)^2/(1+2*$B$4))/I10^2</f>
        <v>19626.759794827</v>
      </c>
      <c r="K10" s="20" t="n">
        <f aca="false">G10*낚시터!F9</f>
        <v>8082.87564941138</v>
      </c>
      <c r="L10" s="34" t="n">
        <f aca="false">J10/K10</f>
        <v>2.42819024393333</v>
      </c>
      <c r="M10" s="28" t="n">
        <f aca="false">0.08*H10^2*1.5</f>
        <v>0.0972</v>
      </c>
      <c r="N10" s="28" t="n">
        <f aca="false">0.28*H10^2*1.5</f>
        <v>0.3402</v>
      </c>
    </row>
    <row r="11" customFormat="false" ht="15" hidden="false" customHeight="false" outlineLevel="0" collapsed="false">
      <c r="A11" s="31" t="str">
        <f aca="false">낚시터!B10</f>
        <v>배낚시</v>
      </c>
      <c r="B11" s="11" t="s">
        <v>393</v>
      </c>
      <c r="C11" s="4" t="s">
        <v>257</v>
      </c>
      <c r="D11" s="9" t="n">
        <v>300</v>
      </c>
      <c r="E11" s="9" t="n">
        <v>380</v>
      </c>
      <c r="F11" s="12" t="n">
        <v>60000</v>
      </c>
      <c r="G11" s="9" t="n">
        <v>30</v>
      </c>
      <c r="H11" s="22" t="n">
        <v>0.94</v>
      </c>
      <c r="I11" s="27" t="n">
        <f aca="false">(D11+E11)/2</f>
        <v>340</v>
      </c>
      <c r="J11" s="20" t="n">
        <f aca="false">F11*(D11^2+2*D11*(E11-D11)/(1+$B$4)+(E11-D11)^2/(1+2*$B$4))/I11^2</f>
        <v>59014.1183872102</v>
      </c>
      <c r="K11" s="20" t="n">
        <f aca="false">G11*낚시터!F10</f>
        <v>22748.0783996495</v>
      </c>
      <c r="L11" s="34" t="n">
        <f aca="false">J11/K11</f>
        <v>2.59424630733291</v>
      </c>
      <c r="M11" s="28" t="n">
        <f aca="false">0.08*H11^2*1.5</f>
        <v>0.106032</v>
      </c>
      <c r="N11" s="28" t="n">
        <f aca="false">0.28*H11^2*1.5</f>
        <v>0.371112</v>
      </c>
    </row>
    <row r="12" customFormat="false" ht="15" hidden="false" customHeight="false" outlineLevel="0" collapsed="false">
      <c r="A12" s="31" t="str">
        <f aca="false">낚시터!B11</f>
        <v>아마존</v>
      </c>
      <c r="B12" s="11" t="s">
        <v>394</v>
      </c>
      <c r="C12" s="4" t="s">
        <v>285</v>
      </c>
      <c r="D12" s="9" t="n">
        <v>350</v>
      </c>
      <c r="E12" s="9" t="n">
        <v>450</v>
      </c>
      <c r="F12" s="12" t="n">
        <v>100000</v>
      </c>
      <c r="G12" s="9" t="n">
        <v>30</v>
      </c>
      <c r="H12" s="22" t="n">
        <v>0.98</v>
      </c>
      <c r="I12" s="27" t="n">
        <f aca="false">(D12+E12)/2</f>
        <v>400</v>
      </c>
      <c r="J12" s="20" t="n">
        <f aca="false">F12*(D12^2+2*D12*(E12-D12)/(1+$B$4)+(E12-D12)^2/(1+2*$B$4))/I12^2</f>
        <v>98287.0989304813</v>
      </c>
      <c r="K12" s="20" t="n">
        <f aca="false">G12*낚시터!F11</f>
        <v>37854.9081416378</v>
      </c>
      <c r="L12" s="34" t="n">
        <f aca="false">J12/K12</f>
        <v>2.59641625764169</v>
      </c>
      <c r="M12" s="28" t="n">
        <f aca="false">0.08*H12^2*1.5</f>
        <v>0.115248</v>
      </c>
      <c r="N12" s="28" t="n">
        <f aca="false">0.28*H12^2*1.5</f>
        <v>0.403368</v>
      </c>
    </row>
    <row r="13" customFormat="false" ht="15" hidden="false" customHeight="false" outlineLevel="0" collapsed="false">
      <c r="A13" s="31" t="str">
        <f aca="false">낚시터!B12</f>
        <v>알래스카</v>
      </c>
      <c r="B13" s="11" t="s">
        <v>395</v>
      </c>
      <c r="C13" s="4" t="s">
        <v>299</v>
      </c>
      <c r="D13" s="9" t="n">
        <v>300</v>
      </c>
      <c r="E13" s="9" t="n">
        <v>380</v>
      </c>
      <c r="F13" s="12" t="n">
        <v>160000</v>
      </c>
      <c r="G13" s="9" t="n">
        <v>30</v>
      </c>
      <c r="H13" s="22" t="n">
        <v>1</v>
      </c>
      <c r="I13" s="27" t="n">
        <f aca="false">(D13+E13)/2</f>
        <v>340</v>
      </c>
      <c r="J13" s="20" t="n">
        <f aca="false">F13*(D13^2+2*D13*(E13-D13)/(1+$B$4)+(E13-D13)^2/(1+2*$B$4))/I13^2</f>
        <v>157370.982365894</v>
      </c>
      <c r="K13" s="20" t="n">
        <f aca="false">G13*낚시터!F12</f>
        <v>60265.1109320687</v>
      </c>
      <c r="L13" s="34" t="n">
        <f aca="false">J13/K13</f>
        <v>2.61131158529325</v>
      </c>
      <c r="M13" s="28" t="n">
        <f aca="false">0.08*H13^2*1.5</f>
        <v>0.12</v>
      </c>
      <c r="N13" s="28" t="n">
        <f aca="false">0.28*H13^2*1.5</f>
        <v>0.42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4"/>
    <col collapsed="false" customWidth="true" hidden="false" outlineLevel="0" max="8" min="8" style="0" width="18"/>
  </cols>
  <sheetData>
    <row r="1" customFormat="false" ht="16.15" hidden="false" customHeight="false" outlineLevel="0" collapsed="false">
      <c r="A1" s="1" t="s">
        <v>396</v>
      </c>
    </row>
    <row r="2" customFormat="false" ht="15" hidden="false" customHeight="false" outlineLevel="0" collapsed="false">
      <c r="A2" s="2" t="s">
        <v>397</v>
      </c>
    </row>
    <row r="4" customFormat="false" ht="31.5" hidden="false" customHeight="true" outlineLevel="0" collapsed="false">
      <c r="A4" s="3" t="s">
        <v>398</v>
      </c>
      <c r="B4" s="3" t="s">
        <v>399</v>
      </c>
      <c r="C4" s="3" t="s">
        <v>400</v>
      </c>
      <c r="D4" s="3" t="s">
        <v>401</v>
      </c>
      <c r="E4" s="3" t="s">
        <v>402</v>
      </c>
    </row>
    <row r="5" customFormat="false" ht="15" hidden="false" customHeight="false" outlineLevel="0" collapsed="false">
      <c r="A5" s="4" t="s">
        <v>403</v>
      </c>
      <c r="B5" s="21" t="n">
        <v>0.7</v>
      </c>
      <c r="C5" s="32" t="n">
        <v>0.2</v>
      </c>
      <c r="D5" s="29" t="n">
        <f aca="false">1-B5^(1/가정!$B$5)</f>
        <v>0.17975544602499</v>
      </c>
      <c r="E5" s="29" t="n">
        <f aca="false">1-B5^(1/MAX(0.9,가정!$B$5-1.3*가정!$B$6))</f>
        <v>0.29508730279311</v>
      </c>
    </row>
    <row r="6" customFormat="false" ht="15" hidden="false" customHeight="false" outlineLevel="0" collapsed="false">
      <c r="A6" s="4" t="s">
        <v>404</v>
      </c>
      <c r="B6" s="21" t="n">
        <v>0.85</v>
      </c>
      <c r="C6" s="32" t="n">
        <v>0.5</v>
      </c>
      <c r="D6" s="29" t="n">
        <f aca="false">1-B6^(1/가정!$B$5)</f>
        <v>0.0863322577807185</v>
      </c>
      <c r="E6" s="29" t="n">
        <f aca="false">1-B6^(1/MAX(0.9,가정!$B$5-1.3*가정!$B$6))</f>
        <v>0.147287030835092</v>
      </c>
    </row>
    <row r="7" customFormat="false" ht="15" hidden="false" customHeight="false" outlineLevel="0" collapsed="false">
      <c r="A7" s="4" t="s">
        <v>405</v>
      </c>
      <c r="B7" s="21" t="n">
        <v>0.95</v>
      </c>
      <c r="C7" s="32" t="n">
        <v>1</v>
      </c>
      <c r="D7" s="29" t="n">
        <f aca="false">1-B7^(1/가정!$B$5)</f>
        <v>0.0280940851803841</v>
      </c>
      <c r="E7" s="29" t="n">
        <f aca="false">1-B7^(1/MAX(0.9,가정!$B$5-1.3*가정!$B$6))</f>
        <v>0.0490440560330157</v>
      </c>
    </row>
    <row r="9" customFormat="false" ht="31.5" hidden="false" customHeight="true" outlineLevel="0" collapsed="false">
      <c r="A9" s="3" t="s">
        <v>406</v>
      </c>
      <c r="B9" s="3" t="s">
        <v>407</v>
      </c>
      <c r="C9" s="3" t="s">
        <v>408</v>
      </c>
      <c r="D9" s="3" t="s">
        <v>409</v>
      </c>
      <c r="E9" s="3" t="s">
        <v>410</v>
      </c>
      <c r="F9" s="3" t="s">
        <v>411</v>
      </c>
      <c r="G9" s="3" t="s">
        <v>412</v>
      </c>
      <c r="H9" s="3" t="s">
        <v>413</v>
      </c>
    </row>
    <row r="10" customFormat="false" ht="15" hidden="false" customHeight="false" outlineLevel="0" collapsed="false">
      <c r="A10" s="31" t="str">
        <f aca="false">물고기!B5</f>
        <v>붕어</v>
      </c>
      <c r="B10" s="31" t="n">
        <f aca="false">물고기!E5</f>
        <v>12</v>
      </c>
      <c r="C10" s="31" t="n">
        <f aca="false">물고기!F5</f>
        <v>30</v>
      </c>
      <c r="D10" s="5" t="n">
        <f aca="false">물고기!G5</f>
        <v>12</v>
      </c>
      <c r="E10" s="27" t="n">
        <f aca="false">ROUND(B10+(C10-B10)*$B$5,1)</f>
        <v>24.6</v>
      </c>
      <c r="F10" s="27" t="n">
        <f aca="false">ROUND(B10+(C10-B10)*$B$6,1)</f>
        <v>27.3</v>
      </c>
      <c r="G10" s="27" t="n">
        <f aca="false">ROUND(B10+(C10-B10)*$B$7,1)</f>
        <v>29.1</v>
      </c>
      <c r="H10" s="20" t="n">
        <f aca="false">D10*SUM($C$5:$C$7)</f>
        <v>20.4</v>
      </c>
    </row>
    <row r="11" customFormat="false" ht="15" hidden="false" customHeight="false" outlineLevel="0" collapsed="false">
      <c r="A11" s="31" t="str">
        <f aca="false">물고기!B6</f>
        <v>향어</v>
      </c>
      <c r="B11" s="31" t="n">
        <f aca="false">물고기!E6</f>
        <v>25</v>
      </c>
      <c r="C11" s="31" t="n">
        <f aca="false">물고기!F6</f>
        <v>50</v>
      </c>
      <c r="D11" s="5" t="n">
        <f aca="false">물고기!G6</f>
        <v>30</v>
      </c>
      <c r="E11" s="27" t="n">
        <f aca="false">ROUND(B11+(C11-B11)*$B$5,1)</f>
        <v>42.5</v>
      </c>
      <c r="F11" s="27" t="n">
        <f aca="false">ROUND(B11+(C11-B11)*$B$6,1)</f>
        <v>46.3</v>
      </c>
      <c r="G11" s="27" t="n">
        <f aca="false">ROUND(B11+(C11-B11)*$B$7,1)</f>
        <v>48.8</v>
      </c>
      <c r="H11" s="20" t="n">
        <f aca="false">D11*SUM($C$5:$C$7)</f>
        <v>51</v>
      </c>
    </row>
    <row r="12" customFormat="false" ht="15" hidden="false" customHeight="false" outlineLevel="0" collapsed="false">
      <c r="A12" s="31" t="str">
        <f aca="false">물고기!B7</f>
        <v>잉어</v>
      </c>
      <c r="B12" s="31" t="n">
        <f aca="false">물고기!E7</f>
        <v>30</v>
      </c>
      <c r="C12" s="31" t="n">
        <f aca="false">물고기!F7</f>
        <v>80</v>
      </c>
      <c r="D12" s="5" t="n">
        <f aca="false">물고기!G7</f>
        <v>60</v>
      </c>
      <c r="E12" s="27" t="n">
        <f aca="false">ROUND(B12+(C12-B12)*$B$5,1)</f>
        <v>65</v>
      </c>
      <c r="F12" s="27" t="n">
        <f aca="false">ROUND(B12+(C12-B12)*$B$6,1)</f>
        <v>72.5</v>
      </c>
      <c r="G12" s="27" t="n">
        <f aca="false">ROUND(B12+(C12-B12)*$B$7,1)</f>
        <v>77.5</v>
      </c>
      <c r="H12" s="20" t="n">
        <f aca="false">D12*SUM($C$5:$C$7)</f>
        <v>102</v>
      </c>
    </row>
    <row r="13" customFormat="false" ht="15" hidden="false" customHeight="false" outlineLevel="0" collapsed="false">
      <c r="A13" s="31" t="str">
        <f aca="false">물고기!B8</f>
        <v>피라미</v>
      </c>
      <c r="B13" s="31" t="n">
        <f aca="false">물고기!E8</f>
        <v>6</v>
      </c>
      <c r="C13" s="31" t="n">
        <f aca="false">물고기!F8</f>
        <v>15</v>
      </c>
      <c r="D13" s="5" t="n">
        <f aca="false">물고기!G8</f>
        <v>6</v>
      </c>
      <c r="E13" s="27" t="n">
        <f aca="false">ROUND(B13+(C13-B13)*$B$5,1)</f>
        <v>12.3</v>
      </c>
      <c r="F13" s="27" t="n">
        <f aca="false">ROUND(B13+(C13-B13)*$B$6,1)</f>
        <v>13.7</v>
      </c>
      <c r="G13" s="27" t="n">
        <f aca="false">ROUND(B13+(C13-B13)*$B$7,1)</f>
        <v>14.6</v>
      </c>
      <c r="H13" s="20" t="n">
        <f aca="false">D13*SUM($C$5:$C$7)</f>
        <v>10.2</v>
      </c>
    </row>
    <row r="14" customFormat="false" ht="15" hidden="false" customHeight="false" outlineLevel="0" collapsed="false">
      <c r="A14" s="31" t="str">
        <f aca="false">물고기!B9</f>
        <v>메기</v>
      </c>
      <c r="B14" s="31" t="n">
        <f aca="false">물고기!E9</f>
        <v>30</v>
      </c>
      <c r="C14" s="31" t="n">
        <f aca="false">물고기!F9</f>
        <v>90</v>
      </c>
      <c r="D14" s="5" t="n">
        <f aca="false">물고기!G9</f>
        <v>70</v>
      </c>
      <c r="E14" s="27" t="n">
        <f aca="false">ROUND(B14+(C14-B14)*$B$5,1)</f>
        <v>72</v>
      </c>
      <c r="F14" s="27" t="n">
        <f aca="false">ROUND(B14+(C14-B14)*$B$6,1)</f>
        <v>81</v>
      </c>
      <c r="G14" s="27" t="n">
        <f aca="false">ROUND(B14+(C14-B14)*$B$7,1)</f>
        <v>87</v>
      </c>
      <c r="H14" s="20" t="n">
        <f aca="false">D14*SUM($C$5:$C$7)</f>
        <v>119</v>
      </c>
    </row>
    <row r="15" customFormat="false" ht="15" hidden="false" customHeight="false" outlineLevel="0" collapsed="false">
      <c r="A15" s="31" t="str">
        <f aca="false">물고기!B10</f>
        <v>쏘가리</v>
      </c>
      <c r="B15" s="31" t="n">
        <f aca="false">물고기!E10</f>
        <v>20</v>
      </c>
      <c r="C15" s="31" t="n">
        <f aca="false">물고기!F10</f>
        <v>55</v>
      </c>
      <c r="D15" s="5" t="n">
        <f aca="false">물고기!G10</f>
        <v>160</v>
      </c>
      <c r="E15" s="27" t="n">
        <f aca="false">ROUND(B15+(C15-B15)*$B$5,1)</f>
        <v>44.5</v>
      </c>
      <c r="F15" s="27" t="n">
        <f aca="false">ROUND(B15+(C15-B15)*$B$6,1)</f>
        <v>49.8</v>
      </c>
      <c r="G15" s="27" t="n">
        <f aca="false">ROUND(B15+(C15-B15)*$B$7,1)</f>
        <v>53.3</v>
      </c>
      <c r="H15" s="20" t="n">
        <f aca="false">D15*SUM($C$5:$C$7)</f>
        <v>272</v>
      </c>
    </row>
    <row r="16" customFormat="false" ht="15" hidden="false" customHeight="false" outlineLevel="0" collapsed="false">
      <c r="A16" s="31" t="str">
        <f aca="false">물고기!B11</f>
        <v>민물장어</v>
      </c>
      <c r="B16" s="31" t="n">
        <f aca="false">물고기!E11</f>
        <v>40</v>
      </c>
      <c r="C16" s="31" t="n">
        <f aca="false">물고기!F11</f>
        <v>100</v>
      </c>
      <c r="D16" s="5" t="n">
        <f aca="false">물고기!G11</f>
        <v>400</v>
      </c>
      <c r="E16" s="27" t="n">
        <f aca="false">ROUND(B16+(C16-B16)*$B$5,1)</f>
        <v>82</v>
      </c>
      <c r="F16" s="27" t="n">
        <f aca="false">ROUND(B16+(C16-B16)*$B$6,1)</f>
        <v>91</v>
      </c>
      <c r="G16" s="27" t="n">
        <f aca="false">ROUND(B16+(C16-B16)*$B$7,1)</f>
        <v>97</v>
      </c>
      <c r="H16" s="20" t="n">
        <f aca="false">D16*SUM($C$5:$C$7)</f>
        <v>680</v>
      </c>
    </row>
    <row r="17" customFormat="false" ht="15" hidden="false" customHeight="false" outlineLevel="0" collapsed="false">
      <c r="A17" s="31" t="str">
        <f aca="false">물고기!B12</f>
        <v>철갑상어</v>
      </c>
      <c r="B17" s="31" t="n">
        <f aca="false">물고기!E12</f>
        <v>80</v>
      </c>
      <c r="C17" s="31" t="n">
        <f aca="false">물고기!F12</f>
        <v>200</v>
      </c>
      <c r="D17" s="5" t="n">
        <f aca="false">물고기!G12</f>
        <v>1800</v>
      </c>
      <c r="E17" s="27" t="n">
        <f aca="false">ROUND(B17+(C17-B17)*$B$5,1)</f>
        <v>164</v>
      </c>
      <c r="F17" s="27" t="n">
        <f aca="false">ROUND(B17+(C17-B17)*$B$6,1)</f>
        <v>182</v>
      </c>
      <c r="G17" s="27" t="n">
        <f aca="false">ROUND(B17+(C17-B17)*$B$7,1)</f>
        <v>194</v>
      </c>
      <c r="H17" s="20" t="n">
        <f aca="false">D17*SUM($C$5:$C$7)</f>
        <v>3060</v>
      </c>
    </row>
    <row r="18" customFormat="false" ht="15" hidden="false" customHeight="false" outlineLevel="0" collapsed="false">
      <c r="A18" s="31" t="str">
        <f aca="false">물고기!B13</f>
        <v>망둥어</v>
      </c>
      <c r="B18" s="31" t="n">
        <f aca="false">물고기!E13</f>
        <v>8</v>
      </c>
      <c r="C18" s="31" t="n">
        <f aca="false">물고기!F13</f>
        <v>25</v>
      </c>
      <c r="D18" s="5" t="n">
        <f aca="false">물고기!G13</f>
        <v>15</v>
      </c>
      <c r="E18" s="27" t="n">
        <f aca="false">ROUND(B18+(C18-B18)*$B$5,1)</f>
        <v>19.9</v>
      </c>
      <c r="F18" s="27" t="n">
        <f aca="false">ROUND(B18+(C18-B18)*$B$6,1)</f>
        <v>22.5</v>
      </c>
      <c r="G18" s="27" t="n">
        <f aca="false">ROUND(B18+(C18-B18)*$B$7,1)</f>
        <v>24.2</v>
      </c>
      <c r="H18" s="20" t="n">
        <f aca="false">D18*SUM($C$5:$C$7)</f>
        <v>25.5</v>
      </c>
    </row>
    <row r="19" customFormat="false" ht="15" hidden="false" customHeight="false" outlineLevel="0" collapsed="false">
      <c r="A19" s="31" t="str">
        <f aca="false">물고기!B14</f>
        <v>전갱이</v>
      </c>
      <c r="B19" s="31" t="n">
        <f aca="false">물고기!E14</f>
        <v>15</v>
      </c>
      <c r="C19" s="31" t="n">
        <f aca="false">물고기!F14</f>
        <v>40</v>
      </c>
      <c r="D19" s="5" t="n">
        <f aca="false">물고기!G14</f>
        <v>35</v>
      </c>
      <c r="E19" s="27" t="n">
        <f aca="false">ROUND(B19+(C19-B19)*$B$5,1)</f>
        <v>32.5</v>
      </c>
      <c r="F19" s="27" t="n">
        <f aca="false">ROUND(B19+(C19-B19)*$B$6,1)</f>
        <v>36.3</v>
      </c>
      <c r="G19" s="27" t="n">
        <f aca="false">ROUND(B19+(C19-B19)*$B$7,1)</f>
        <v>38.8</v>
      </c>
      <c r="H19" s="20" t="n">
        <f aca="false">D19*SUM($C$5:$C$7)</f>
        <v>59.5</v>
      </c>
    </row>
    <row r="20" customFormat="false" ht="15" hidden="false" customHeight="false" outlineLevel="0" collapsed="false">
      <c r="A20" s="31" t="str">
        <f aca="false">물고기!B15</f>
        <v>고등어</v>
      </c>
      <c r="B20" s="31" t="n">
        <f aca="false">물고기!E15</f>
        <v>25</v>
      </c>
      <c r="C20" s="31" t="n">
        <f aca="false">물고기!F15</f>
        <v>50</v>
      </c>
      <c r="D20" s="5" t="n">
        <f aca="false">물고기!G15</f>
        <v>60</v>
      </c>
      <c r="E20" s="27" t="n">
        <f aca="false">ROUND(B20+(C20-B20)*$B$5,1)</f>
        <v>42.5</v>
      </c>
      <c r="F20" s="27" t="n">
        <f aca="false">ROUND(B20+(C20-B20)*$B$6,1)</f>
        <v>46.3</v>
      </c>
      <c r="G20" s="27" t="n">
        <f aca="false">ROUND(B20+(C20-B20)*$B$7,1)</f>
        <v>48.8</v>
      </c>
      <c r="H20" s="20" t="n">
        <f aca="false">D20*SUM($C$5:$C$7)</f>
        <v>102</v>
      </c>
    </row>
    <row r="21" customFormat="false" ht="15" hidden="false" customHeight="false" outlineLevel="0" collapsed="false">
      <c r="A21" s="31" t="str">
        <f aca="false">물고기!B16</f>
        <v>우럭</v>
      </c>
      <c r="B21" s="31" t="n">
        <f aca="false">물고기!E16</f>
        <v>20</v>
      </c>
      <c r="C21" s="31" t="n">
        <f aca="false">물고기!F16</f>
        <v>50</v>
      </c>
      <c r="D21" s="5" t="n">
        <f aca="false">물고기!G16</f>
        <v>150</v>
      </c>
      <c r="E21" s="27" t="n">
        <f aca="false">ROUND(B21+(C21-B21)*$B$5,1)</f>
        <v>41</v>
      </c>
      <c r="F21" s="27" t="n">
        <f aca="false">ROUND(B21+(C21-B21)*$B$6,1)</f>
        <v>45.5</v>
      </c>
      <c r="G21" s="27" t="n">
        <f aca="false">ROUND(B21+(C21-B21)*$B$7,1)</f>
        <v>48.5</v>
      </c>
      <c r="H21" s="20" t="n">
        <f aca="false">D21*SUM($C$5:$C$7)</f>
        <v>255</v>
      </c>
    </row>
    <row r="22" customFormat="false" ht="15" hidden="false" customHeight="false" outlineLevel="0" collapsed="false">
      <c r="A22" s="31" t="str">
        <f aca="false">물고기!B17</f>
        <v>감성돔</v>
      </c>
      <c r="B22" s="31" t="n">
        <f aca="false">물고기!E17</f>
        <v>25</v>
      </c>
      <c r="C22" s="31" t="n">
        <f aca="false">물고기!F17</f>
        <v>60</v>
      </c>
      <c r="D22" s="5" t="n">
        <f aca="false">물고기!G17</f>
        <v>450</v>
      </c>
      <c r="E22" s="27" t="n">
        <f aca="false">ROUND(B22+(C22-B22)*$B$5,1)</f>
        <v>49.5</v>
      </c>
      <c r="F22" s="27" t="n">
        <f aca="false">ROUND(B22+(C22-B22)*$B$6,1)</f>
        <v>54.8</v>
      </c>
      <c r="G22" s="27" t="n">
        <f aca="false">ROUND(B22+(C22-B22)*$B$7,1)</f>
        <v>58.3</v>
      </c>
      <c r="H22" s="20" t="n">
        <f aca="false">D22*SUM($C$5:$C$7)</f>
        <v>765</v>
      </c>
    </row>
    <row r="23" customFormat="false" ht="15" hidden="false" customHeight="false" outlineLevel="0" collapsed="false">
      <c r="A23" s="31" t="str">
        <f aca="false">물고기!B18</f>
        <v>농어</v>
      </c>
      <c r="B23" s="31" t="n">
        <f aca="false">물고기!E18</f>
        <v>40</v>
      </c>
      <c r="C23" s="31" t="n">
        <f aca="false">물고기!F18</f>
        <v>100</v>
      </c>
      <c r="D23" s="5" t="n">
        <f aca="false">물고기!G18</f>
        <v>650</v>
      </c>
      <c r="E23" s="27" t="n">
        <f aca="false">ROUND(B23+(C23-B23)*$B$5,1)</f>
        <v>82</v>
      </c>
      <c r="F23" s="27" t="n">
        <f aca="false">ROUND(B23+(C23-B23)*$B$6,1)</f>
        <v>91</v>
      </c>
      <c r="G23" s="27" t="n">
        <f aca="false">ROUND(B23+(C23-B23)*$B$7,1)</f>
        <v>97</v>
      </c>
      <c r="H23" s="20" t="n">
        <f aca="false">D23*SUM($C$5:$C$7)</f>
        <v>1105</v>
      </c>
    </row>
    <row r="24" customFormat="false" ht="15" hidden="false" customHeight="false" outlineLevel="0" collapsed="false">
      <c r="A24" s="31" t="str">
        <f aca="false">물고기!B19</f>
        <v>벵에돔</v>
      </c>
      <c r="B24" s="31" t="n">
        <f aca="false">물고기!E19</f>
        <v>25</v>
      </c>
      <c r="C24" s="31" t="n">
        <f aca="false">물고기!F19</f>
        <v>55</v>
      </c>
      <c r="D24" s="5" t="n">
        <f aca="false">물고기!G19</f>
        <v>550</v>
      </c>
      <c r="E24" s="27" t="n">
        <f aca="false">ROUND(B24+(C24-B24)*$B$5,1)</f>
        <v>46</v>
      </c>
      <c r="F24" s="27" t="n">
        <f aca="false">ROUND(B24+(C24-B24)*$B$6,1)</f>
        <v>50.5</v>
      </c>
      <c r="G24" s="27" t="n">
        <f aca="false">ROUND(B24+(C24-B24)*$B$7,1)</f>
        <v>53.5</v>
      </c>
      <c r="H24" s="20" t="n">
        <f aca="false">D24*SUM($C$5:$C$7)</f>
        <v>935</v>
      </c>
    </row>
    <row r="25" customFormat="false" ht="15" hidden="false" customHeight="false" outlineLevel="0" collapsed="false">
      <c r="A25" s="31" t="str">
        <f aca="false">물고기!B20</f>
        <v>돌돔</v>
      </c>
      <c r="B25" s="31" t="n">
        <f aca="false">물고기!E20</f>
        <v>30</v>
      </c>
      <c r="C25" s="31" t="n">
        <f aca="false">물고기!F20</f>
        <v>70</v>
      </c>
      <c r="D25" s="5" t="n">
        <f aca="false">물고기!G20</f>
        <v>1600</v>
      </c>
      <c r="E25" s="27" t="n">
        <f aca="false">ROUND(B25+(C25-B25)*$B$5,1)</f>
        <v>58</v>
      </c>
      <c r="F25" s="27" t="n">
        <f aca="false">ROUND(B25+(C25-B25)*$B$6,1)</f>
        <v>64</v>
      </c>
      <c r="G25" s="27" t="n">
        <f aca="false">ROUND(B25+(C25-B25)*$B$7,1)</f>
        <v>68</v>
      </c>
      <c r="H25" s="20" t="n">
        <f aca="false">D25*SUM($C$5:$C$7)</f>
        <v>2720</v>
      </c>
    </row>
    <row r="26" customFormat="false" ht="15" hidden="false" customHeight="false" outlineLevel="0" collapsed="false">
      <c r="A26" s="31" t="str">
        <f aca="false">물고기!B21</f>
        <v>갈치</v>
      </c>
      <c r="B26" s="31" t="n">
        <f aca="false">물고기!E21</f>
        <v>60</v>
      </c>
      <c r="C26" s="31" t="n">
        <f aca="false">물고기!F21</f>
        <v>150</v>
      </c>
      <c r="D26" s="5" t="n">
        <f aca="false">물고기!G21</f>
        <v>180</v>
      </c>
      <c r="E26" s="27" t="n">
        <f aca="false">ROUND(B26+(C26-B26)*$B$5,1)</f>
        <v>123</v>
      </c>
      <c r="F26" s="27" t="n">
        <f aca="false">ROUND(B26+(C26-B26)*$B$6,1)</f>
        <v>136.5</v>
      </c>
      <c r="G26" s="27" t="n">
        <f aca="false">ROUND(B26+(C26-B26)*$B$7,1)</f>
        <v>145.5</v>
      </c>
      <c r="H26" s="20" t="n">
        <f aca="false">D26*SUM($C$5:$C$7)</f>
        <v>306</v>
      </c>
    </row>
    <row r="27" customFormat="false" ht="15" hidden="false" customHeight="false" outlineLevel="0" collapsed="false">
      <c r="A27" s="31" t="str">
        <f aca="false">물고기!B22</f>
        <v>광어</v>
      </c>
      <c r="B27" s="31" t="n">
        <f aca="false">물고기!E22</f>
        <v>35</v>
      </c>
      <c r="C27" s="31" t="n">
        <f aca="false">물고기!F22</f>
        <v>90</v>
      </c>
      <c r="D27" s="5" t="n">
        <f aca="false">물고기!G22</f>
        <v>450</v>
      </c>
      <c r="E27" s="27" t="n">
        <f aca="false">ROUND(B27+(C27-B27)*$B$5,1)</f>
        <v>73.5</v>
      </c>
      <c r="F27" s="27" t="n">
        <f aca="false">ROUND(B27+(C27-B27)*$B$6,1)</f>
        <v>81.8</v>
      </c>
      <c r="G27" s="27" t="n">
        <f aca="false">ROUND(B27+(C27-B27)*$B$7,1)</f>
        <v>87.3</v>
      </c>
      <c r="H27" s="20" t="n">
        <f aca="false">D27*SUM($C$5:$C$7)</f>
        <v>765</v>
      </c>
    </row>
    <row r="28" customFormat="false" ht="15" hidden="false" customHeight="false" outlineLevel="0" collapsed="false">
      <c r="A28" s="31" t="str">
        <f aca="false">물고기!B23</f>
        <v>참돔</v>
      </c>
      <c r="B28" s="31" t="n">
        <f aca="false">물고기!E23</f>
        <v>30</v>
      </c>
      <c r="C28" s="31" t="n">
        <f aca="false">물고기!F23</f>
        <v>90</v>
      </c>
      <c r="D28" s="5" t="n">
        <f aca="false">물고기!G23</f>
        <v>900</v>
      </c>
      <c r="E28" s="27" t="n">
        <f aca="false">ROUND(B28+(C28-B28)*$B$5,1)</f>
        <v>72</v>
      </c>
      <c r="F28" s="27" t="n">
        <f aca="false">ROUND(B28+(C28-B28)*$B$6,1)</f>
        <v>81</v>
      </c>
      <c r="G28" s="27" t="n">
        <f aca="false">ROUND(B28+(C28-B28)*$B$7,1)</f>
        <v>87</v>
      </c>
      <c r="H28" s="20" t="n">
        <f aca="false">D28*SUM($C$5:$C$7)</f>
        <v>1530</v>
      </c>
    </row>
    <row r="29" customFormat="false" ht="15" hidden="false" customHeight="false" outlineLevel="0" collapsed="false">
      <c r="A29" s="31" t="str">
        <f aca="false">물고기!B24</f>
        <v>방어</v>
      </c>
      <c r="B29" s="31" t="n">
        <f aca="false">물고기!E24</f>
        <v>50</v>
      </c>
      <c r="C29" s="31" t="n">
        <f aca="false">물고기!F24</f>
        <v>110</v>
      </c>
      <c r="D29" s="5" t="n">
        <f aca="false">물고기!G24</f>
        <v>1400</v>
      </c>
      <c r="E29" s="27" t="n">
        <f aca="false">ROUND(B29+(C29-B29)*$B$5,1)</f>
        <v>92</v>
      </c>
      <c r="F29" s="27" t="n">
        <f aca="false">ROUND(B29+(C29-B29)*$B$6,1)</f>
        <v>101</v>
      </c>
      <c r="G29" s="27" t="n">
        <f aca="false">ROUND(B29+(C29-B29)*$B$7,1)</f>
        <v>107</v>
      </c>
      <c r="H29" s="20" t="n">
        <f aca="false">D29*SUM($C$5:$C$7)</f>
        <v>2380</v>
      </c>
    </row>
    <row r="30" customFormat="false" ht="15" hidden="false" customHeight="false" outlineLevel="0" collapsed="false">
      <c r="A30" s="31" t="str">
        <f aca="false">물고기!B25</f>
        <v>부시리</v>
      </c>
      <c r="B30" s="31" t="n">
        <f aca="false">물고기!E25</f>
        <v>60</v>
      </c>
      <c r="C30" s="31" t="n">
        <f aca="false">물고기!F25</f>
        <v>140</v>
      </c>
      <c r="D30" s="5" t="n">
        <f aca="false">물고기!G25</f>
        <v>2200</v>
      </c>
      <c r="E30" s="27" t="n">
        <f aca="false">ROUND(B30+(C30-B30)*$B$5,1)</f>
        <v>116</v>
      </c>
      <c r="F30" s="27" t="n">
        <f aca="false">ROUND(B30+(C30-B30)*$B$6,1)</f>
        <v>128</v>
      </c>
      <c r="G30" s="27" t="n">
        <f aca="false">ROUND(B30+(C30-B30)*$B$7,1)</f>
        <v>136</v>
      </c>
      <c r="H30" s="20" t="n">
        <f aca="false">D30*SUM($C$5:$C$7)</f>
        <v>3740</v>
      </c>
    </row>
    <row r="31" customFormat="false" ht="15" hidden="false" customHeight="false" outlineLevel="0" collapsed="false">
      <c r="A31" s="31" t="str">
        <f aca="false">물고기!B26</f>
        <v>참다랑어</v>
      </c>
      <c r="B31" s="31" t="n">
        <f aca="false">물고기!E26</f>
        <v>100</v>
      </c>
      <c r="C31" s="31" t="n">
        <f aca="false">물고기!F26</f>
        <v>280</v>
      </c>
      <c r="D31" s="5" t="n">
        <f aca="false">물고기!G26</f>
        <v>9000</v>
      </c>
      <c r="E31" s="27" t="n">
        <f aca="false">ROUND(B31+(C31-B31)*$B$5,1)</f>
        <v>226</v>
      </c>
      <c r="F31" s="27" t="n">
        <f aca="false">ROUND(B31+(C31-B31)*$B$6,1)</f>
        <v>253</v>
      </c>
      <c r="G31" s="27" t="n">
        <f aca="false">ROUND(B31+(C31-B31)*$B$7,1)</f>
        <v>271</v>
      </c>
      <c r="H31" s="20" t="n">
        <f aca="false">D31*SUM($C$5:$C$7)</f>
        <v>15300</v>
      </c>
    </row>
    <row r="32" customFormat="false" ht="15" hidden="false" customHeight="false" outlineLevel="0" collapsed="false">
      <c r="A32" s="31" t="str">
        <f aca="false">물고기!B27</f>
        <v>버들치</v>
      </c>
      <c r="B32" s="31" t="n">
        <f aca="false">물고기!E27</f>
        <v>5</v>
      </c>
      <c r="C32" s="31" t="n">
        <f aca="false">물고기!F27</f>
        <v>12</v>
      </c>
      <c r="D32" s="5" t="n">
        <f aca="false">물고기!G27</f>
        <v>8</v>
      </c>
      <c r="E32" s="27" t="n">
        <f aca="false">ROUND(B32+(C32-B32)*$B$5,1)</f>
        <v>9.9</v>
      </c>
      <c r="F32" s="27" t="n">
        <f aca="false">ROUND(B32+(C32-B32)*$B$6,1)</f>
        <v>11</v>
      </c>
      <c r="G32" s="27" t="n">
        <f aca="false">ROUND(B32+(C32-B32)*$B$7,1)</f>
        <v>11.7</v>
      </c>
      <c r="H32" s="20" t="n">
        <f aca="false">D32*SUM($C$5:$C$7)</f>
        <v>13.6</v>
      </c>
    </row>
    <row r="33" customFormat="false" ht="15" hidden="false" customHeight="false" outlineLevel="0" collapsed="false">
      <c r="A33" s="31" t="str">
        <f aca="false">물고기!B28</f>
        <v>갈겨니</v>
      </c>
      <c r="B33" s="31" t="n">
        <f aca="false">물고기!E28</f>
        <v>8</v>
      </c>
      <c r="C33" s="31" t="n">
        <f aca="false">물고기!F28</f>
        <v>18</v>
      </c>
      <c r="D33" s="5" t="n">
        <f aca="false">물고기!G28</f>
        <v>12</v>
      </c>
      <c r="E33" s="27" t="n">
        <f aca="false">ROUND(B33+(C33-B33)*$B$5,1)</f>
        <v>15</v>
      </c>
      <c r="F33" s="27" t="n">
        <f aca="false">ROUND(B33+(C33-B33)*$B$6,1)</f>
        <v>16.5</v>
      </c>
      <c r="G33" s="27" t="n">
        <f aca="false">ROUND(B33+(C33-B33)*$B$7,1)</f>
        <v>17.5</v>
      </c>
      <c r="H33" s="20" t="n">
        <f aca="false">D33*SUM($C$5:$C$7)</f>
        <v>20.4</v>
      </c>
    </row>
    <row r="34" customFormat="false" ht="15" hidden="false" customHeight="false" outlineLevel="0" collapsed="false">
      <c r="A34" s="31" t="str">
        <f aca="false">물고기!B29</f>
        <v>모래무지</v>
      </c>
      <c r="B34" s="31" t="n">
        <f aca="false">물고기!E29</f>
        <v>10</v>
      </c>
      <c r="C34" s="31" t="n">
        <f aca="false">물고기!F29</f>
        <v>25</v>
      </c>
      <c r="D34" s="5" t="n">
        <f aca="false">물고기!G29</f>
        <v>25</v>
      </c>
      <c r="E34" s="27" t="n">
        <f aca="false">ROUND(B34+(C34-B34)*$B$5,1)</f>
        <v>20.5</v>
      </c>
      <c r="F34" s="27" t="n">
        <f aca="false">ROUND(B34+(C34-B34)*$B$6,1)</f>
        <v>22.8</v>
      </c>
      <c r="G34" s="27" t="n">
        <f aca="false">ROUND(B34+(C34-B34)*$B$7,1)</f>
        <v>24.3</v>
      </c>
      <c r="H34" s="20" t="n">
        <f aca="false">D34*SUM($C$5:$C$7)</f>
        <v>42.5</v>
      </c>
    </row>
    <row r="35" customFormat="false" ht="15" hidden="false" customHeight="false" outlineLevel="0" collapsed="false">
      <c r="A35" s="31" t="str">
        <f aca="false">물고기!B30</f>
        <v>꺽지</v>
      </c>
      <c r="B35" s="31" t="n">
        <f aca="false">물고기!E30</f>
        <v>10</v>
      </c>
      <c r="C35" s="31" t="n">
        <f aca="false">물고기!F30</f>
        <v>25</v>
      </c>
      <c r="D35" s="5" t="n">
        <f aca="false">물고기!G30</f>
        <v>70</v>
      </c>
      <c r="E35" s="27" t="n">
        <f aca="false">ROUND(B35+(C35-B35)*$B$5,1)</f>
        <v>20.5</v>
      </c>
      <c r="F35" s="27" t="n">
        <f aca="false">ROUND(B35+(C35-B35)*$B$6,1)</f>
        <v>22.8</v>
      </c>
      <c r="G35" s="27" t="n">
        <f aca="false">ROUND(B35+(C35-B35)*$B$7,1)</f>
        <v>24.3</v>
      </c>
      <c r="H35" s="20" t="n">
        <f aca="false">D35*SUM($C$5:$C$7)</f>
        <v>119</v>
      </c>
    </row>
    <row r="36" customFormat="false" ht="15" hidden="false" customHeight="false" outlineLevel="0" collapsed="false">
      <c r="A36" s="31" t="str">
        <f aca="false">물고기!B31</f>
        <v>은어</v>
      </c>
      <c r="B36" s="31" t="n">
        <f aca="false">물고기!E31</f>
        <v>12</v>
      </c>
      <c r="C36" s="31" t="n">
        <f aca="false">물고기!F31</f>
        <v>28</v>
      </c>
      <c r="D36" s="5" t="n">
        <f aca="false">물고기!G31</f>
        <v>150</v>
      </c>
      <c r="E36" s="27" t="n">
        <f aca="false">ROUND(B36+(C36-B36)*$B$5,1)</f>
        <v>23.2</v>
      </c>
      <c r="F36" s="27" t="n">
        <f aca="false">ROUND(B36+(C36-B36)*$B$6,1)</f>
        <v>25.6</v>
      </c>
      <c r="G36" s="27" t="n">
        <f aca="false">ROUND(B36+(C36-B36)*$B$7,1)</f>
        <v>27.2</v>
      </c>
      <c r="H36" s="20" t="n">
        <f aca="false">D36*SUM($C$5:$C$7)</f>
        <v>255</v>
      </c>
    </row>
    <row r="37" customFormat="false" ht="15" hidden="false" customHeight="false" outlineLevel="0" collapsed="false">
      <c r="A37" s="31" t="str">
        <f aca="false">물고기!B32</f>
        <v>볼락</v>
      </c>
      <c r="B37" s="31" t="n">
        <f aca="false">물고기!E32</f>
        <v>15</v>
      </c>
      <c r="C37" s="31" t="n">
        <f aca="false">물고기!F32</f>
        <v>30</v>
      </c>
      <c r="D37" s="5" t="n">
        <f aca="false">물고기!G32</f>
        <v>120</v>
      </c>
      <c r="E37" s="27" t="n">
        <f aca="false">ROUND(B37+(C37-B37)*$B$5,1)</f>
        <v>25.5</v>
      </c>
      <c r="F37" s="27" t="n">
        <f aca="false">ROUND(B37+(C37-B37)*$B$6,1)</f>
        <v>27.8</v>
      </c>
      <c r="G37" s="27" t="n">
        <f aca="false">ROUND(B37+(C37-B37)*$B$7,1)</f>
        <v>29.3</v>
      </c>
      <c r="H37" s="20" t="n">
        <f aca="false">D37*SUM($C$5:$C$7)</f>
        <v>204</v>
      </c>
    </row>
    <row r="38" customFormat="false" ht="15" hidden="false" customHeight="false" outlineLevel="0" collapsed="false">
      <c r="A38" s="31" t="str">
        <f aca="false">물고기!B33</f>
        <v>쥐노래미</v>
      </c>
      <c r="B38" s="31" t="n">
        <f aca="false">물고기!E33</f>
        <v>20</v>
      </c>
      <c r="C38" s="31" t="n">
        <f aca="false">물고기!F33</f>
        <v>45</v>
      </c>
      <c r="D38" s="5" t="n">
        <f aca="false">물고기!G33</f>
        <v>180</v>
      </c>
      <c r="E38" s="27" t="n">
        <f aca="false">ROUND(B38+(C38-B38)*$B$5,1)</f>
        <v>37.5</v>
      </c>
      <c r="F38" s="27" t="n">
        <f aca="false">ROUND(B38+(C38-B38)*$B$6,1)</f>
        <v>41.3</v>
      </c>
      <c r="G38" s="27" t="n">
        <f aca="false">ROUND(B38+(C38-B38)*$B$7,1)</f>
        <v>43.8</v>
      </c>
      <c r="H38" s="20" t="n">
        <f aca="false">D38*SUM($C$5:$C$7)</f>
        <v>306</v>
      </c>
    </row>
    <row r="39" customFormat="false" ht="15" hidden="false" customHeight="false" outlineLevel="0" collapsed="false">
      <c r="A39" s="31" t="str">
        <f aca="false">물고기!B34</f>
        <v>혹돔</v>
      </c>
      <c r="B39" s="31" t="n">
        <f aca="false">물고기!E34</f>
        <v>40</v>
      </c>
      <c r="C39" s="31" t="n">
        <f aca="false">물고기!F34</f>
        <v>90</v>
      </c>
      <c r="D39" s="5" t="n">
        <f aca="false">물고기!G34</f>
        <v>1800</v>
      </c>
      <c r="E39" s="27" t="n">
        <f aca="false">ROUND(B39+(C39-B39)*$B$5,1)</f>
        <v>75</v>
      </c>
      <c r="F39" s="27" t="n">
        <f aca="false">ROUND(B39+(C39-B39)*$B$6,1)</f>
        <v>82.5</v>
      </c>
      <c r="G39" s="27" t="n">
        <f aca="false">ROUND(B39+(C39-B39)*$B$7,1)</f>
        <v>87.5</v>
      </c>
      <c r="H39" s="20" t="n">
        <f aca="false">D39*SUM($C$5:$C$7)</f>
        <v>3060</v>
      </c>
    </row>
    <row r="40" customFormat="false" ht="15" hidden="false" customHeight="false" outlineLevel="0" collapsed="false">
      <c r="A40" s="31" t="str">
        <f aca="false">물고기!B35</f>
        <v>피라냐</v>
      </c>
      <c r="B40" s="31" t="n">
        <f aca="false">물고기!E35</f>
        <v>15</v>
      </c>
      <c r="C40" s="31" t="n">
        <f aca="false">물고기!F35</f>
        <v>35</v>
      </c>
      <c r="D40" s="5" t="n">
        <f aca="false">물고기!G35</f>
        <v>300</v>
      </c>
      <c r="E40" s="27" t="n">
        <f aca="false">ROUND(B40+(C40-B40)*$B$5,1)</f>
        <v>29</v>
      </c>
      <c r="F40" s="27" t="n">
        <f aca="false">ROUND(B40+(C40-B40)*$B$6,1)</f>
        <v>32</v>
      </c>
      <c r="G40" s="27" t="n">
        <f aca="false">ROUND(B40+(C40-B40)*$B$7,1)</f>
        <v>34</v>
      </c>
      <c r="H40" s="20" t="n">
        <f aca="false">D40*SUM($C$5:$C$7)</f>
        <v>510</v>
      </c>
    </row>
    <row r="41" customFormat="false" ht="15" hidden="false" customHeight="false" outlineLevel="0" collapsed="false">
      <c r="A41" s="31" t="str">
        <f aca="false">물고기!B36</f>
        <v>파쿠</v>
      </c>
      <c r="B41" s="31" t="n">
        <f aca="false">물고기!E36</f>
        <v>30</v>
      </c>
      <c r="C41" s="31" t="n">
        <f aca="false">물고기!F36</f>
        <v>80</v>
      </c>
      <c r="D41" s="5" t="n">
        <f aca="false">물고기!G36</f>
        <v>700</v>
      </c>
      <c r="E41" s="27" t="n">
        <f aca="false">ROUND(B41+(C41-B41)*$B$5,1)</f>
        <v>65</v>
      </c>
      <c r="F41" s="27" t="n">
        <f aca="false">ROUND(B41+(C41-B41)*$B$6,1)</f>
        <v>72.5</v>
      </c>
      <c r="G41" s="27" t="n">
        <f aca="false">ROUND(B41+(C41-B41)*$B$7,1)</f>
        <v>77.5</v>
      </c>
      <c r="H41" s="20" t="n">
        <f aca="false">D41*SUM($C$5:$C$7)</f>
        <v>1190</v>
      </c>
    </row>
    <row r="42" customFormat="false" ht="15" hidden="false" customHeight="false" outlineLevel="0" collapsed="false">
      <c r="A42" s="31" t="str">
        <f aca="false">물고기!B37</f>
        <v>피콕배스</v>
      </c>
      <c r="B42" s="31" t="n">
        <f aca="false">물고기!E37</f>
        <v>30</v>
      </c>
      <c r="C42" s="31" t="n">
        <f aca="false">물고기!F37</f>
        <v>70</v>
      </c>
      <c r="D42" s="5" t="n">
        <f aca="false">물고기!G37</f>
        <v>1500</v>
      </c>
      <c r="E42" s="27" t="n">
        <f aca="false">ROUND(B42+(C42-B42)*$B$5,1)</f>
        <v>58</v>
      </c>
      <c r="F42" s="27" t="n">
        <f aca="false">ROUND(B42+(C42-B42)*$B$6,1)</f>
        <v>64</v>
      </c>
      <c r="G42" s="27" t="n">
        <f aca="false">ROUND(B42+(C42-B42)*$B$7,1)</f>
        <v>68</v>
      </c>
      <c r="H42" s="20" t="n">
        <f aca="false">D42*SUM($C$5:$C$7)</f>
        <v>2550</v>
      </c>
    </row>
    <row r="43" customFormat="false" ht="15" hidden="false" customHeight="false" outlineLevel="0" collapsed="false">
      <c r="A43" s="31" t="str">
        <f aca="false">물고기!B38</f>
        <v>레드테일 캣피시</v>
      </c>
      <c r="B43" s="31" t="n">
        <f aca="false">물고기!E38</f>
        <v>60</v>
      </c>
      <c r="C43" s="31" t="n">
        <f aca="false">물고기!F38</f>
        <v>140</v>
      </c>
      <c r="D43" s="5" t="n">
        <f aca="false">물고기!G38</f>
        <v>2600</v>
      </c>
      <c r="E43" s="27" t="n">
        <f aca="false">ROUND(B43+(C43-B43)*$B$5,1)</f>
        <v>116</v>
      </c>
      <c r="F43" s="27" t="n">
        <f aca="false">ROUND(B43+(C43-B43)*$B$6,1)</f>
        <v>128</v>
      </c>
      <c r="G43" s="27" t="n">
        <f aca="false">ROUND(B43+(C43-B43)*$B$7,1)</f>
        <v>136</v>
      </c>
      <c r="H43" s="20" t="n">
        <f aca="false">D43*SUM($C$5:$C$7)</f>
        <v>4420</v>
      </c>
    </row>
    <row r="44" customFormat="false" ht="15" hidden="false" customHeight="false" outlineLevel="0" collapsed="false">
      <c r="A44" s="31" t="str">
        <f aca="false">물고기!B39</f>
        <v>아로와나</v>
      </c>
      <c r="B44" s="31" t="n">
        <f aca="false">물고기!E39</f>
        <v>50</v>
      </c>
      <c r="C44" s="31" t="n">
        <f aca="false">물고기!F39</f>
        <v>100</v>
      </c>
      <c r="D44" s="5" t="n">
        <f aca="false">물고기!G39</f>
        <v>2800</v>
      </c>
      <c r="E44" s="27" t="n">
        <f aca="false">ROUND(B44+(C44-B44)*$B$5,1)</f>
        <v>85</v>
      </c>
      <c r="F44" s="27" t="n">
        <f aca="false">ROUND(B44+(C44-B44)*$B$6,1)</f>
        <v>92.5</v>
      </c>
      <c r="G44" s="27" t="n">
        <f aca="false">ROUND(B44+(C44-B44)*$B$7,1)</f>
        <v>97.5</v>
      </c>
      <c r="H44" s="20" t="n">
        <f aca="false">D44*SUM($C$5:$C$7)</f>
        <v>4760</v>
      </c>
    </row>
    <row r="45" customFormat="false" ht="15" hidden="false" customHeight="false" outlineLevel="0" collapsed="false">
      <c r="A45" s="31" t="str">
        <f aca="false">물고기!B40</f>
        <v>피라루쿠</v>
      </c>
      <c r="B45" s="31" t="n">
        <f aca="false">물고기!E40</f>
        <v>150</v>
      </c>
      <c r="C45" s="31" t="n">
        <f aca="false">물고기!F40</f>
        <v>300</v>
      </c>
      <c r="D45" s="5" t="n">
        <f aca="false">물고기!G40</f>
        <v>16000</v>
      </c>
      <c r="E45" s="27" t="n">
        <f aca="false">ROUND(B45+(C45-B45)*$B$5,1)</f>
        <v>255</v>
      </c>
      <c r="F45" s="27" t="n">
        <f aca="false">ROUND(B45+(C45-B45)*$B$6,1)</f>
        <v>277.5</v>
      </c>
      <c r="G45" s="27" t="n">
        <f aca="false">ROUND(B45+(C45-B45)*$B$7,1)</f>
        <v>292.5</v>
      </c>
      <c r="H45" s="20" t="n">
        <f aca="false">D45*SUM($C$5:$C$7)</f>
        <v>27200</v>
      </c>
    </row>
    <row r="46" customFormat="false" ht="15" hidden="false" customHeight="false" outlineLevel="0" collapsed="false">
      <c r="A46" s="31" t="str">
        <f aca="false">물고기!B41</f>
        <v>무지개송어</v>
      </c>
      <c r="B46" s="31" t="n">
        <f aca="false">물고기!E41</f>
        <v>30</v>
      </c>
      <c r="C46" s="31" t="n">
        <f aca="false">물고기!F41</f>
        <v>80</v>
      </c>
      <c r="D46" s="5" t="n">
        <f aca="false">물고기!G41</f>
        <v>1000</v>
      </c>
      <c r="E46" s="27" t="n">
        <f aca="false">ROUND(B46+(C46-B46)*$B$5,1)</f>
        <v>65</v>
      </c>
      <c r="F46" s="27" t="n">
        <f aca="false">ROUND(B46+(C46-B46)*$B$6,1)</f>
        <v>72.5</v>
      </c>
      <c r="G46" s="27" t="n">
        <f aca="false">ROUND(B46+(C46-B46)*$B$7,1)</f>
        <v>77.5</v>
      </c>
      <c r="H46" s="20" t="n">
        <f aca="false">D46*SUM($C$5:$C$7)</f>
        <v>1700</v>
      </c>
    </row>
    <row r="47" customFormat="false" ht="15" hidden="false" customHeight="false" outlineLevel="0" collapsed="false">
      <c r="A47" s="31" t="str">
        <f aca="false">물고기!B42</f>
        <v>홍연어</v>
      </c>
      <c r="B47" s="31" t="n">
        <f aca="false">물고기!E42</f>
        <v>45</v>
      </c>
      <c r="C47" s="31" t="n">
        <f aca="false">물고기!F42</f>
        <v>80</v>
      </c>
      <c r="D47" s="5" t="n">
        <f aca="false">물고기!G42</f>
        <v>1800</v>
      </c>
      <c r="E47" s="27" t="n">
        <f aca="false">ROUND(B47+(C47-B47)*$B$5,1)</f>
        <v>69.5</v>
      </c>
      <c r="F47" s="27" t="n">
        <f aca="false">ROUND(B47+(C47-B47)*$B$6,1)</f>
        <v>74.8</v>
      </c>
      <c r="G47" s="27" t="n">
        <f aca="false">ROUND(B47+(C47-B47)*$B$7,1)</f>
        <v>78.3</v>
      </c>
      <c r="H47" s="20" t="n">
        <f aca="false">D47*SUM($C$5:$C$7)</f>
        <v>3060</v>
      </c>
    </row>
    <row r="48" customFormat="false" ht="15" hidden="false" customHeight="false" outlineLevel="0" collapsed="false">
      <c r="A48" s="31" t="str">
        <f aca="false">물고기!B43</f>
        <v>북극곤들매기</v>
      </c>
      <c r="B48" s="31" t="n">
        <f aca="false">물고기!E43</f>
        <v>40</v>
      </c>
      <c r="C48" s="31" t="n">
        <f aca="false">물고기!F43</f>
        <v>80</v>
      </c>
      <c r="D48" s="5" t="n">
        <f aca="false">물고기!G43</f>
        <v>2400</v>
      </c>
      <c r="E48" s="27" t="n">
        <f aca="false">ROUND(B48+(C48-B48)*$B$5,1)</f>
        <v>68</v>
      </c>
      <c r="F48" s="27" t="n">
        <f aca="false">ROUND(B48+(C48-B48)*$B$6,1)</f>
        <v>74</v>
      </c>
      <c r="G48" s="27" t="n">
        <f aca="false">ROUND(B48+(C48-B48)*$B$7,1)</f>
        <v>78</v>
      </c>
      <c r="H48" s="20" t="n">
        <f aca="false">D48*SUM($C$5:$C$7)</f>
        <v>4080</v>
      </c>
    </row>
    <row r="49" customFormat="false" ht="15" hidden="false" customHeight="false" outlineLevel="0" collapsed="false">
      <c r="A49" s="31" t="str">
        <f aca="false">물고기!B44</f>
        <v>은연어</v>
      </c>
      <c r="B49" s="31" t="n">
        <f aca="false">물고기!E44</f>
        <v>50</v>
      </c>
      <c r="C49" s="31" t="n">
        <f aca="false">물고기!F44</f>
        <v>90</v>
      </c>
      <c r="D49" s="5" t="n">
        <f aca="false">물고기!G44</f>
        <v>2000</v>
      </c>
      <c r="E49" s="27" t="n">
        <f aca="false">ROUND(B49+(C49-B49)*$B$5,1)</f>
        <v>78</v>
      </c>
      <c r="F49" s="27" t="n">
        <f aca="false">ROUND(B49+(C49-B49)*$B$6,1)</f>
        <v>84</v>
      </c>
      <c r="G49" s="27" t="n">
        <f aca="false">ROUND(B49+(C49-B49)*$B$7,1)</f>
        <v>88</v>
      </c>
      <c r="H49" s="20" t="n">
        <f aca="false">D49*SUM($C$5:$C$7)</f>
        <v>3400</v>
      </c>
    </row>
    <row r="50" customFormat="false" ht="15" hidden="false" customHeight="false" outlineLevel="0" collapsed="false">
      <c r="A50" s="31" t="str">
        <f aca="false">물고기!B45</f>
        <v>링코드</v>
      </c>
      <c r="B50" s="31" t="n">
        <f aca="false">물고기!E45</f>
        <v>50</v>
      </c>
      <c r="C50" s="31" t="n">
        <f aca="false">물고기!F45</f>
        <v>120</v>
      </c>
      <c r="D50" s="5" t="n">
        <f aca="false">물고기!G45</f>
        <v>3500</v>
      </c>
      <c r="E50" s="27" t="n">
        <f aca="false">ROUND(B50+(C50-B50)*$B$5,1)</f>
        <v>99</v>
      </c>
      <c r="F50" s="27" t="n">
        <f aca="false">ROUND(B50+(C50-B50)*$B$6,1)</f>
        <v>109.5</v>
      </c>
      <c r="G50" s="27" t="n">
        <f aca="false">ROUND(B50+(C50-B50)*$B$7,1)</f>
        <v>116.5</v>
      </c>
      <c r="H50" s="20" t="n">
        <f aca="false">D50*SUM($C$5:$C$7)</f>
        <v>5950</v>
      </c>
    </row>
    <row r="51" customFormat="false" ht="15" hidden="false" customHeight="false" outlineLevel="0" collapsed="false">
      <c r="A51" s="31" t="str">
        <f aca="false">물고기!B46</f>
        <v>왕연어</v>
      </c>
      <c r="B51" s="31" t="n">
        <f aca="false">물고기!E46</f>
        <v>70</v>
      </c>
      <c r="C51" s="31" t="n">
        <f aca="false">물고기!F46</f>
        <v>140</v>
      </c>
      <c r="D51" s="5" t="n">
        <f aca="false">물고기!G46</f>
        <v>5000</v>
      </c>
      <c r="E51" s="27" t="n">
        <f aca="false">ROUND(B51+(C51-B51)*$B$5,1)</f>
        <v>119</v>
      </c>
      <c r="F51" s="27" t="n">
        <f aca="false">ROUND(B51+(C51-B51)*$B$6,1)</f>
        <v>129.5</v>
      </c>
      <c r="G51" s="27" t="n">
        <f aca="false">ROUND(B51+(C51-B51)*$B$7,1)</f>
        <v>136.5</v>
      </c>
      <c r="H51" s="20" t="n">
        <f aca="false">D51*SUM($C$5:$C$7)</f>
        <v>8500</v>
      </c>
    </row>
    <row r="52" customFormat="false" ht="15" hidden="false" customHeight="false" outlineLevel="0" collapsed="false">
      <c r="A52" s="31" t="str">
        <f aca="false">물고기!B47</f>
        <v>핼리벗</v>
      </c>
      <c r="B52" s="31" t="n">
        <f aca="false">물고기!E47</f>
        <v>80</v>
      </c>
      <c r="C52" s="31" t="n">
        <f aca="false">물고기!F47</f>
        <v>250</v>
      </c>
      <c r="D52" s="5" t="n">
        <f aca="false">물고기!G47</f>
        <v>14000</v>
      </c>
      <c r="E52" s="27" t="n">
        <f aca="false">ROUND(B52+(C52-B52)*$B$5,1)</f>
        <v>199</v>
      </c>
      <c r="F52" s="27" t="n">
        <f aca="false">ROUND(B52+(C52-B52)*$B$6,1)</f>
        <v>224.5</v>
      </c>
      <c r="G52" s="27" t="n">
        <f aca="false">ROUND(B52+(C52-B52)*$B$7,1)</f>
        <v>241.5</v>
      </c>
      <c r="H52" s="20" t="n">
        <f aca="false">D52*SUM($C$5:$C$7)</f>
        <v>23800</v>
      </c>
    </row>
    <row r="53" customFormat="false" ht="15" hidden="false" customHeight="false" outlineLevel="0" collapsed="false">
      <c r="A53" s="31" t="str">
        <f aca="false">물고기!B48</f>
        <v>황금 고등어</v>
      </c>
      <c r="B53" s="31" t="n">
        <f aca="false">물고기!E48</f>
        <v>30</v>
      </c>
      <c r="C53" s="31" t="n">
        <f aca="false">물고기!F48</f>
        <v>55</v>
      </c>
      <c r="D53" s="5" t="n">
        <f aca="false">물고기!G48</f>
        <v>2500</v>
      </c>
      <c r="E53" s="27" t="n">
        <f aca="false">ROUND(B53+(C53-B53)*$B$5,1)</f>
        <v>47.5</v>
      </c>
      <c r="F53" s="27" t="n">
        <f aca="false">ROUND(B53+(C53-B53)*$B$6,1)</f>
        <v>51.3</v>
      </c>
      <c r="G53" s="27" t="n">
        <f aca="false">ROUND(B53+(C53-B53)*$B$7,1)</f>
        <v>53.8</v>
      </c>
      <c r="H53" s="20" t="n">
        <f aca="false">D53*SUM($C$5:$C$7)</f>
        <v>4250</v>
      </c>
    </row>
    <row r="54" customFormat="false" ht="15" hidden="false" customHeight="false" outlineLevel="0" collapsed="false">
      <c r="A54" s="31" t="str">
        <f aca="false">물고기!B49</f>
        <v>해운대 은갈치</v>
      </c>
      <c r="B54" s="31" t="n">
        <f aca="false">물고기!E49</f>
        <v>90</v>
      </c>
      <c r="C54" s="31" t="n">
        <f aca="false">물고기!F49</f>
        <v>180</v>
      </c>
      <c r="D54" s="5" t="n">
        <f aca="false">물고기!G49</f>
        <v>1800</v>
      </c>
      <c r="E54" s="27" t="n">
        <f aca="false">ROUND(B54+(C54-B54)*$B$5,1)</f>
        <v>153</v>
      </c>
      <c r="F54" s="27" t="n">
        <f aca="false">ROUND(B54+(C54-B54)*$B$6,1)</f>
        <v>166.5</v>
      </c>
      <c r="G54" s="27" t="n">
        <f aca="false">ROUND(B54+(C54-B54)*$B$7,1)</f>
        <v>175.5</v>
      </c>
      <c r="H54" s="20" t="n">
        <f aca="false">D54*SUM($C$5:$C$7)</f>
        <v>3060</v>
      </c>
    </row>
    <row r="55" customFormat="false" ht="15" hidden="false" customHeight="false" outlineLevel="0" collapsed="false">
      <c r="A55" s="31" t="str">
        <f aca="false">물고기!B50</f>
        <v>태종대 다금바리</v>
      </c>
      <c r="B55" s="31" t="n">
        <f aca="false">물고기!E50</f>
        <v>50</v>
      </c>
      <c r="C55" s="31" t="n">
        <f aca="false">물고기!F50</f>
        <v>120</v>
      </c>
      <c r="D55" s="5" t="n">
        <f aca="false">물고기!G50</f>
        <v>6000</v>
      </c>
      <c r="E55" s="27" t="n">
        <f aca="false">ROUND(B55+(C55-B55)*$B$5,1)</f>
        <v>99</v>
      </c>
      <c r="F55" s="27" t="n">
        <f aca="false">ROUND(B55+(C55-B55)*$B$6,1)</f>
        <v>109.5</v>
      </c>
      <c r="G55" s="27" t="n">
        <f aca="false">ROUND(B55+(C55-B55)*$B$7,1)</f>
        <v>116.5</v>
      </c>
      <c r="H55" s="20" t="n">
        <f aca="false">D55*SUM($C$5:$C$7)</f>
        <v>10200</v>
      </c>
    </row>
    <row r="56" customFormat="false" ht="15" hidden="false" customHeight="false" outlineLevel="0" collapsed="false">
      <c r="A56" s="31" t="str">
        <f aca="false">물고기!B51</f>
        <v>오륙도 돗돔</v>
      </c>
      <c r="B56" s="31" t="n">
        <f aca="false">물고기!E51</f>
        <v>100</v>
      </c>
      <c r="C56" s="31" t="n">
        <f aca="false">물고기!F51</f>
        <v>220</v>
      </c>
      <c r="D56" s="5" t="n">
        <f aca="false">물고기!G51</f>
        <v>20000</v>
      </c>
      <c r="E56" s="27" t="n">
        <f aca="false">ROUND(B56+(C56-B56)*$B$5,1)</f>
        <v>184</v>
      </c>
      <c r="F56" s="27" t="n">
        <f aca="false">ROUND(B56+(C56-B56)*$B$6,1)</f>
        <v>202</v>
      </c>
      <c r="G56" s="27" t="n">
        <f aca="false">ROUND(B56+(C56-B56)*$B$7,1)</f>
        <v>214</v>
      </c>
      <c r="H56" s="20" t="n">
        <f aca="false">D56*SUM($C$5:$C$7)</f>
        <v>34000</v>
      </c>
    </row>
    <row r="57" customFormat="false" ht="15" hidden="false" customHeight="false" outlineLevel="0" collapsed="false">
      <c r="G57" s="4" t="s">
        <v>414</v>
      </c>
      <c r="H57" s="20" t="n">
        <f aca="false">SUM(H10:H56)</f>
        <v>180953.1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44"/>
  </cols>
  <sheetData>
    <row r="1" customFormat="false" ht="16.15" hidden="false" customHeight="false" outlineLevel="0" collapsed="false">
      <c r="A1" s="1" t="s">
        <v>415</v>
      </c>
    </row>
    <row r="2" customFormat="false" ht="15" hidden="false" customHeight="false" outlineLevel="0" collapsed="false">
      <c r="A2" s="2" t="s">
        <v>416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417</v>
      </c>
    </row>
    <row r="5" customFormat="false" ht="15" hidden="false" customHeight="false" outlineLevel="0" collapsed="false">
      <c r="A5" s="4" t="s">
        <v>418</v>
      </c>
      <c r="B5" s="35" t="n">
        <v>12</v>
      </c>
      <c r="C5" s="4" t="s">
        <v>419</v>
      </c>
    </row>
    <row r="6" customFormat="false" ht="15" hidden="false" customHeight="false" outlineLevel="0" collapsed="false">
      <c r="A6" s="4" t="s">
        <v>420</v>
      </c>
      <c r="B6" s="35" t="n">
        <v>3</v>
      </c>
      <c r="C6" s="4"/>
    </row>
    <row r="7" customFormat="false" ht="15" hidden="false" customHeight="false" outlineLevel="0" collapsed="false">
      <c r="A7" s="4" t="s">
        <v>421</v>
      </c>
      <c r="B7" s="21" t="n">
        <v>0.6</v>
      </c>
      <c r="C7" s="4"/>
    </row>
    <row r="8" customFormat="false" ht="15" hidden="false" customHeight="false" outlineLevel="0" collapsed="false">
      <c r="A8" s="4" t="s">
        <v>422</v>
      </c>
      <c r="B8" s="21" t="n">
        <v>0.25</v>
      </c>
      <c r="C8" s="4" t="s">
        <v>423</v>
      </c>
    </row>
    <row r="9" customFormat="false" ht="15" hidden="false" customHeight="false" outlineLevel="0" collapsed="false">
      <c r="A9" s="4" t="s">
        <v>424</v>
      </c>
      <c r="B9" s="21" t="n">
        <v>0.15</v>
      </c>
      <c r="C9" s="4"/>
    </row>
    <row r="10" customFormat="false" ht="15" hidden="false" customHeight="false" outlineLevel="0" collapsed="false">
      <c r="A10" s="4" t="s">
        <v>425</v>
      </c>
      <c r="B10" s="32" t="n">
        <v>1.3</v>
      </c>
      <c r="C10" s="4" t="s">
        <v>426</v>
      </c>
    </row>
    <row r="11" customFormat="false" ht="15" hidden="false" customHeight="false" outlineLevel="0" collapsed="false">
      <c r="A11" s="4" t="s">
        <v>427</v>
      </c>
      <c r="B11" s="32" t="n">
        <v>1.5</v>
      </c>
      <c r="C11" s="4"/>
    </row>
    <row r="12" customFormat="false" ht="15" hidden="false" customHeight="false" outlineLevel="0" collapsed="false">
      <c r="A12" s="4" t="s">
        <v>428</v>
      </c>
      <c r="B12" s="22" t="n">
        <v>0.3</v>
      </c>
      <c r="C12" s="4" t="s">
        <v>429</v>
      </c>
    </row>
    <row r="13" customFormat="false" ht="15" hidden="false" customHeight="false" outlineLevel="0" collapsed="false">
      <c r="A13" s="4" t="s">
        <v>430</v>
      </c>
      <c r="B13" s="22" t="n">
        <v>0.25</v>
      </c>
      <c r="C13" s="4"/>
    </row>
    <row r="14" customFormat="false" ht="15" hidden="false" customHeight="false" outlineLevel="0" collapsed="false">
      <c r="A14" s="4" t="s">
        <v>431</v>
      </c>
      <c r="B14" s="22" t="n">
        <v>0.8</v>
      </c>
      <c r="C14" s="4"/>
    </row>
    <row r="15" customFormat="false" ht="15" hidden="false" customHeight="false" outlineLevel="0" collapsed="false">
      <c r="A15" s="4" t="s">
        <v>432</v>
      </c>
      <c r="B15" s="32" t="n">
        <v>2</v>
      </c>
      <c r="C15" s="4"/>
    </row>
    <row r="16" customFormat="false" ht="15" hidden="false" customHeight="false" outlineLevel="0" collapsed="false">
      <c r="A16" s="4" t="s">
        <v>433</v>
      </c>
      <c r="B16" s="32" t="n">
        <v>2</v>
      </c>
      <c r="C16" s="4"/>
    </row>
    <row r="18" customFormat="false" ht="17.15" hidden="false" customHeight="false" outlineLevel="0" collapsed="false">
      <c r="A18" s="30" t="s">
        <v>434</v>
      </c>
    </row>
    <row r="19" customFormat="false" ht="31.5" hidden="false" customHeight="true" outlineLevel="0" collapsed="false">
      <c r="A19" s="3" t="s">
        <v>312</v>
      </c>
      <c r="B19" s="3" t="s">
        <v>435</v>
      </c>
      <c r="C19" s="3" t="s">
        <v>436</v>
      </c>
      <c r="D19" s="3" t="s">
        <v>437</v>
      </c>
      <c r="E19" s="3" t="s">
        <v>438</v>
      </c>
      <c r="F19" s="3" t="s">
        <v>439</v>
      </c>
      <c r="G19" s="3" t="s">
        <v>440</v>
      </c>
    </row>
    <row r="20" customFormat="false" ht="15" hidden="false" customHeight="false" outlineLevel="0" collapsed="false">
      <c r="A20" s="31" t="str">
        <f aca="false">낚시터!B6</f>
        <v>하천</v>
      </c>
      <c r="B20" s="20" t="n">
        <v>28</v>
      </c>
      <c r="C20" s="20" t="n">
        <v>30</v>
      </c>
      <c r="D20" s="20" t="n">
        <v>30</v>
      </c>
      <c r="E20" s="20" t="n">
        <v>30</v>
      </c>
      <c r="F20" s="36" t="n">
        <f aca="false">C20/B20</f>
        <v>1.07142857142857</v>
      </c>
      <c r="G20" s="36" t="n">
        <f aca="false">D20/B20</f>
        <v>1.07142857142857</v>
      </c>
    </row>
    <row r="21" customFormat="false" ht="15" hidden="false" customHeight="false" outlineLevel="0" collapsed="false">
      <c r="A21" s="31" t="str">
        <f aca="false">낚시터!B7</f>
        <v>강</v>
      </c>
      <c r="B21" s="20" t="n">
        <v>60</v>
      </c>
      <c r="C21" s="20" t="n">
        <v>84</v>
      </c>
      <c r="D21" s="20" t="n">
        <v>66</v>
      </c>
      <c r="E21" s="20" t="n">
        <v>63</v>
      </c>
      <c r="F21" s="36" t="n">
        <f aca="false">C21/B21</f>
        <v>1.4</v>
      </c>
      <c r="G21" s="36" t="n">
        <f aca="false">D21/B21</f>
        <v>1.1</v>
      </c>
    </row>
    <row r="22" customFormat="false" ht="15" hidden="false" customHeight="false" outlineLevel="0" collapsed="false">
      <c r="A22" s="31" t="str">
        <f aca="false">낚시터!B8</f>
        <v>방파제</v>
      </c>
      <c r="B22" s="20" t="n">
        <v>122</v>
      </c>
      <c r="C22" s="20" t="n">
        <v>132</v>
      </c>
      <c r="D22" s="20" t="n">
        <v>130</v>
      </c>
      <c r="E22" s="20" t="n">
        <v>126</v>
      </c>
      <c r="F22" s="36" t="n">
        <f aca="false">C22/B22</f>
        <v>1.08196721311475</v>
      </c>
      <c r="G22" s="36" t="n">
        <f aca="false">D22/B22</f>
        <v>1.0655737704918</v>
      </c>
    </row>
    <row r="23" customFormat="false" ht="15" hidden="false" customHeight="false" outlineLevel="0" collapsed="false">
      <c r="A23" s="31" t="str">
        <f aca="false">낚시터!B9</f>
        <v>독도</v>
      </c>
      <c r="B23" s="20" t="n">
        <v>319</v>
      </c>
      <c r="C23" s="20" t="n">
        <v>345</v>
      </c>
      <c r="D23" s="20" t="n">
        <v>327</v>
      </c>
      <c r="E23" s="20" t="n">
        <v>322</v>
      </c>
      <c r="F23" s="36" t="n">
        <f aca="false">C23/B23</f>
        <v>1.08150470219436</v>
      </c>
      <c r="G23" s="36" t="n">
        <f aca="false">D23/B23</f>
        <v>1.02507836990596</v>
      </c>
    </row>
    <row r="24" customFormat="false" ht="15" hidden="false" customHeight="false" outlineLevel="0" collapsed="false">
      <c r="A24" s="31" t="str">
        <f aca="false">낚시터!B10</f>
        <v>배낚시</v>
      </c>
      <c r="B24" s="20" t="n">
        <v>787</v>
      </c>
      <c r="C24" s="20" t="n">
        <v>812</v>
      </c>
      <c r="D24" s="20" t="n">
        <v>845</v>
      </c>
      <c r="E24" s="20" t="n">
        <v>819</v>
      </c>
      <c r="F24" s="36" t="n">
        <f aca="false">C24/B24</f>
        <v>1.03176620076239</v>
      </c>
      <c r="G24" s="36" t="n">
        <f aca="false">D24/B24</f>
        <v>1.07369758576874</v>
      </c>
    </row>
    <row r="25" customFormat="false" ht="15" hidden="false" customHeight="false" outlineLevel="0" collapsed="false">
      <c r="A25" s="31" t="str">
        <f aca="false">낚시터!B11</f>
        <v>아마존</v>
      </c>
      <c r="B25" s="20" t="n">
        <v>1547</v>
      </c>
      <c r="C25" s="20" t="n">
        <v>1851</v>
      </c>
      <c r="D25" s="20" t="n">
        <v>1553</v>
      </c>
      <c r="E25" s="20" t="n">
        <v>1556</v>
      </c>
      <c r="F25" s="36" t="n">
        <f aca="false">C25/B25</f>
        <v>1.19650937297996</v>
      </c>
      <c r="G25" s="36" t="n">
        <f aca="false">D25/B25</f>
        <v>1.00387847446671</v>
      </c>
    </row>
    <row r="26" customFormat="false" ht="15" hidden="false" customHeight="false" outlineLevel="0" collapsed="false">
      <c r="A26" s="31" t="str">
        <f aca="false">낚시터!B12</f>
        <v>알래스카</v>
      </c>
      <c r="B26" s="20" t="n">
        <v>2193</v>
      </c>
      <c r="C26" s="20" t="n">
        <v>2574</v>
      </c>
      <c r="D26" s="20" t="n">
        <v>2257</v>
      </c>
      <c r="E26" s="20" t="n">
        <v>2281</v>
      </c>
      <c r="F26" s="36" t="n">
        <f aca="false">C26/B26</f>
        <v>1.17373461012312</v>
      </c>
      <c r="G26" s="36" t="n">
        <f aca="false">D26/B26</f>
        <v>1.02918376652987</v>
      </c>
    </row>
    <row r="27" customFormat="false" ht="15" hidden="false" customHeight="false" outlineLevel="0" collapsed="false">
      <c r="A27" s="31" t="str">
        <f aca="false">낚시터!B13</f>
        <v>부산</v>
      </c>
      <c r="B27" s="20" t="n">
        <v>1911</v>
      </c>
      <c r="C27" s="20" t="n">
        <v>2162</v>
      </c>
      <c r="D27" s="20" t="n">
        <v>1975</v>
      </c>
      <c r="E27" s="20" t="n">
        <v>1995</v>
      </c>
      <c r="F27" s="36" t="n">
        <f aca="false">C27/B27</f>
        <v>1.13134484563056</v>
      </c>
      <c r="G27" s="36" t="n">
        <f aca="false">D27/B27</f>
        <v>1.03349031920461</v>
      </c>
    </row>
    <row r="29" customFormat="false" ht="17.15" hidden="false" customHeight="false" outlineLevel="0" collapsed="false">
      <c r="A29" s="30" t="s">
        <v>441</v>
      </c>
    </row>
    <row r="30" customFormat="false" ht="15" hidden="false" customHeight="false" outlineLevel="0" collapsed="false">
      <c r="A30" s="4" t="s">
        <v>442</v>
      </c>
      <c r="B30" s="21" t="n">
        <v>0.5</v>
      </c>
    </row>
    <row r="31" customFormat="false" ht="31.5" hidden="false" customHeight="true" outlineLevel="0" collapsed="false">
      <c r="A31" s="3" t="s">
        <v>443</v>
      </c>
      <c r="B31" s="3" t="s">
        <v>444</v>
      </c>
      <c r="C31" s="3" t="s">
        <v>445</v>
      </c>
      <c r="D31" s="3" t="s">
        <v>446</v>
      </c>
      <c r="E31" s="3" t="s">
        <v>447</v>
      </c>
      <c r="F31" s="3" t="s">
        <v>448</v>
      </c>
      <c r="G31" s="3" t="s">
        <v>449</v>
      </c>
      <c r="H31" s="3" t="s">
        <v>417</v>
      </c>
    </row>
    <row r="32" customFormat="false" ht="15" hidden="false" customHeight="false" outlineLevel="0" collapsed="false">
      <c r="A32" s="11" t="s">
        <v>450</v>
      </c>
      <c r="B32" s="4" t="s">
        <v>451</v>
      </c>
      <c r="C32" s="32" t="n">
        <v>3</v>
      </c>
      <c r="D32" s="22" t="n">
        <v>0</v>
      </c>
      <c r="E32" s="22" t="n">
        <v>1</v>
      </c>
      <c r="F32" s="22" t="n">
        <v>1</v>
      </c>
      <c r="G32" s="22" t="n">
        <v>0</v>
      </c>
      <c r="H32" s="4" t="s">
        <v>452</v>
      </c>
    </row>
    <row r="33" customFormat="false" ht="15" hidden="false" customHeight="false" outlineLevel="0" collapsed="false">
      <c r="A33" s="11" t="s">
        <v>453</v>
      </c>
      <c r="B33" s="4" t="s">
        <v>454</v>
      </c>
      <c r="C33" s="32" t="n">
        <v>1</v>
      </c>
      <c r="D33" s="22" t="n">
        <v>0.15</v>
      </c>
      <c r="E33" s="22" t="n">
        <v>1.2</v>
      </c>
      <c r="F33" s="22" t="n">
        <v>1</v>
      </c>
      <c r="G33" s="22" t="n">
        <v>0</v>
      </c>
      <c r="H33" s="4" t="s">
        <v>455</v>
      </c>
    </row>
    <row r="34" customFormat="false" ht="15" hidden="false" customHeight="false" outlineLevel="0" collapsed="false">
      <c r="A34" s="11" t="s">
        <v>456</v>
      </c>
      <c r="B34" s="4" t="s">
        <v>457</v>
      </c>
      <c r="C34" s="32" t="n">
        <v>1</v>
      </c>
      <c r="D34" s="22" t="n">
        <v>0</v>
      </c>
      <c r="E34" s="22" t="n">
        <v>1</v>
      </c>
      <c r="F34" s="22" t="n">
        <v>0.65</v>
      </c>
      <c r="G34" s="22" t="n">
        <v>0</v>
      </c>
      <c r="H34" s="4" t="s">
        <v>458</v>
      </c>
    </row>
    <row r="35" customFormat="false" ht="15" hidden="false" customHeight="false" outlineLevel="0" collapsed="false">
      <c r="A35" s="11" t="s">
        <v>459</v>
      </c>
      <c r="B35" s="4" t="s">
        <v>460</v>
      </c>
      <c r="C35" s="32" t="n">
        <v>1</v>
      </c>
      <c r="D35" s="22" t="n">
        <v>0</v>
      </c>
      <c r="E35" s="22" t="n">
        <v>1</v>
      </c>
      <c r="F35" s="22" t="n">
        <v>1.25</v>
      </c>
      <c r="G35" s="22" t="n">
        <v>0.5</v>
      </c>
      <c r="H35" s="4" t="s">
        <v>461</v>
      </c>
    </row>
    <row r="36" customFormat="false" ht="15" hidden="false" customHeight="false" outlineLevel="0" collapsed="false">
      <c r="A36" s="4" t="s">
        <v>462</v>
      </c>
      <c r="B36" s="29" t="n">
        <f aca="false">B30/2</f>
        <v>0.25</v>
      </c>
    </row>
    <row r="37" customFormat="false" ht="15" hidden="false" customHeight="false" outlineLevel="0" collapsed="false">
      <c r="A37" s="4" t="s">
        <v>463</v>
      </c>
      <c r="B37" s="29" t="n">
        <f aca="false">B30/2</f>
        <v>0.25</v>
      </c>
    </row>
    <row r="38" customFormat="false" ht="15" hidden="false" customHeight="false" outlineLevel="0" collapsed="false">
      <c r="A38" s="4" t="s">
        <v>464</v>
      </c>
      <c r="B38" s="29" t="n">
        <f aca="false">B30/2</f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7" min="7" style="0" width="14"/>
  </cols>
  <sheetData>
    <row r="1" customFormat="false" ht="20.1" hidden="false" customHeight="false" outlineLevel="0" collapsed="false">
      <c r="A1" s="1" t="s">
        <v>465</v>
      </c>
    </row>
    <row r="3" customFormat="false" ht="15" hidden="false" customHeight="false" outlineLevel="0" collapsed="false">
      <c r="A3" s="30" t="s">
        <v>466</v>
      </c>
    </row>
    <row r="4" customFormat="false" ht="15" hidden="false" customHeight="false" outlineLevel="0" collapsed="false">
      <c r="A4" s="4" t="s">
        <v>467</v>
      </c>
      <c r="B4" s="21" t="n">
        <v>0.1</v>
      </c>
    </row>
    <row r="5" customFormat="false" ht="15" hidden="false" customHeight="false" outlineLevel="0" collapsed="false">
      <c r="A5" s="4" t="s">
        <v>468</v>
      </c>
      <c r="B5" s="9" t="n">
        <v>24</v>
      </c>
    </row>
    <row r="6" customFormat="false" ht="15" hidden="false" customHeight="false" outlineLevel="0" collapsed="false">
      <c r="A6" s="4" t="s">
        <v>469</v>
      </c>
      <c r="B6" s="12" t="n">
        <v>2000</v>
      </c>
    </row>
    <row r="8" customFormat="false" ht="31.5" hidden="false" customHeight="true" outlineLevel="0" collapsed="false">
      <c r="A8" s="3" t="s">
        <v>470</v>
      </c>
      <c r="B8" s="3" t="s">
        <v>471</v>
      </c>
      <c r="C8" s="3" t="s">
        <v>128</v>
      </c>
      <c r="D8" s="3" t="s">
        <v>472</v>
      </c>
      <c r="E8" s="3" t="s">
        <v>473</v>
      </c>
      <c r="F8" s="3" t="s">
        <v>474</v>
      </c>
      <c r="G8" s="3" t="s">
        <v>475</v>
      </c>
    </row>
    <row r="9" customFormat="false" ht="15" hidden="false" customHeight="false" outlineLevel="0" collapsed="false">
      <c r="A9" s="11" t="s">
        <v>476</v>
      </c>
      <c r="B9" s="12" t="n">
        <v>20000</v>
      </c>
      <c r="C9" s="20" t="n">
        <f aca="false">SUM($B$9:B9)</f>
        <v>20000</v>
      </c>
      <c r="D9" s="9" t="n">
        <v>3</v>
      </c>
      <c r="E9" s="20" t="n">
        <f aca="false">D9*$B$6*$B$4</f>
        <v>600</v>
      </c>
      <c r="F9" s="20" t="n">
        <f aca="false">E9*$B$5</f>
        <v>14400</v>
      </c>
      <c r="G9" s="24" t="n">
        <f aca="false">C9/E9</f>
        <v>33.3333333333333</v>
      </c>
    </row>
    <row r="10" customFormat="false" ht="15" hidden="false" customHeight="false" outlineLevel="0" collapsed="false">
      <c r="A10" s="11" t="s">
        <v>477</v>
      </c>
      <c r="B10" s="12" t="n">
        <v>60000</v>
      </c>
      <c r="C10" s="20" t="n">
        <f aca="false">SUM($B$9:B10)</f>
        <v>80000</v>
      </c>
      <c r="D10" s="9" t="n">
        <v>5</v>
      </c>
      <c r="E10" s="20" t="n">
        <f aca="false">D10*$B$6*$B$4</f>
        <v>1000</v>
      </c>
      <c r="F10" s="20" t="n">
        <f aca="false">E10*$B$5</f>
        <v>24000</v>
      </c>
      <c r="G10" s="24" t="n">
        <f aca="false">C10/E10</f>
        <v>80</v>
      </c>
    </row>
    <row r="11" customFormat="false" ht="15" hidden="false" customHeight="false" outlineLevel="0" collapsed="false">
      <c r="A11" s="11" t="s">
        <v>478</v>
      </c>
      <c r="B11" s="12" t="n">
        <v>150000</v>
      </c>
      <c r="C11" s="20" t="n">
        <f aca="false">SUM($B$9:B11)</f>
        <v>230000</v>
      </c>
      <c r="D11" s="9" t="n">
        <v>8</v>
      </c>
      <c r="E11" s="20" t="n">
        <f aca="false">D11*$B$6*$B$4</f>
        <v>1600</v>
      </c>
      <c r="F11" s="20" t="n">
        <f aca="false">E11*$B$5</f>
        <v>38400</v>
      </c>
      <c r="G11" s="24" t="n">
        <f aca="false">C11/E11</f>
        <v>143.75</v>
      </c>
    </row>
    <row r="12" customFormat="false" ht="15" hidden="false" customHeight="false" outlineLevel="0" collapsed="false">
      <c r="A12" s="11" t="s">
        <v>479</v>
      </c>
      <c r="B12" s="12" t="n">
        <v>400000</v>
      </c>
      <c r="C12" s="20" t="n">
        <f aca="false">SUM($B$9:B12)</f>
        <v>630000</v>
      </c>
      <c r="D12" s="9" t="n">
        <v>12</v>
      </c>
      <c r="E12" s="20" t="n">
        <f aca="false">D12*$B$6*$B$4</f>
        <v>2400</v>
      </c>
      <c r="F12" s="20" t="n">
        <f aca="false">E12*$B$5</f>
        <v>57600</v>
      </c>
      <c r="G12" s="24" t="n">
        <f aca="false">C12/E12</f>
        <v>262.5</v>
      </c>
    </row>
    <row r="13" customFormat="false" ht="15" hidden="false" customHeight="false" outlineLevel="0" collapsed="false">
      <c r="A13" s="11" t="s">
        <v>480</v>
      </c>
      <c r="B13" s="12" t="n">
        <v>1000000</v>
      </c>
      <c r="C13" s="20" t="n">
        <f aca="false">SUM($B$9:B13)</f>
        <v>1630000</v>
      </c>
      <c r="D13" s="9" t="n">
        <v>16</v>
      </c>
      <c r="E13" s="20" t="n">
        <f aca="false">D13*$B$6*$B$4</f>
        <v>3200</v>
      </c>
      <c r="F13" s="20" t="n">
        <f aca="false">E13*$B$5</f>
        <v>76800</v>
      </c>
      <c r="G13" s="24" t="n">
        <f aca="false">C13/E13</f>
        <v>509.375</v>
      </c>
    </row>
    <row r="15" customFormat="false" ht="15" hidden="false" customHeight="false" outlineLevel="0" collapsed="false">
      <c r="A15" s="30" t="s">
        <v>481</v>
      </c>
    </row>
    <row r="16" customFormat="false" ht="31.5" hidden="false" customHeight="true" outlineLevel="0" collapsed="false">
      <c r="A16" s="3" t="s">
        <v>178</v>
      </c>
      <c r="B16" s="3" t="s">
        <v>482</v>
      </c>
      <c r="C16" s="3" t="s">
        <v>483</v>
      </c>
      <c r="D16" s="3" t="s">
        <v>484</v>
      </c>
      <c r="E16" s="3" t="s">
        <v>485</v>
      </c>
    </row>
    <row r="17" customFormat="false" ht="15" hidden="false" customHeight="false" outlineLevel="0" collapsed="false">
      <c r="A17" s="11" t="s">
        <v>486</v>
      </c>
      <c r="B17" s="12" t="n">
        <v>3000</v>
      </c>
      <c r="C17" s="9" t="n">
        <v>10</v>
      </c>
      <c r="D17" s="20" t="n">
        <f aca="false">B17/C17</f>
        <v>300</v>
      </c>
      <c r="E17" s="4" t="s">
        <v>487</v>
      </c>
    </row>
    <row r="18" customFormat="false" ht="15" hidden="false" customHeight="false" outlineLevel="0" collapsed="false">
      <c r="A18" s="11" t="s">
        <v>488</v>
      </c>
      <c r="B18" s="12" t="n">
        <v>8000</v>
      </c>
      <c r="C18" s="9" t="n">
        <v>10</v>
      </c>
      <c r="D18" s="20" t="n">
        <f aca="false">B18/C18</f>
        <v>800</v>
      </c>
      <c r="E18" s="4" t="s">
        <v>489</v>
      </c>
    </row>
    <row r="19" customFormat="false" ht="15" hidden="false" customHeight="false" outlineLevel="0" collapsed="false">
      <c r="A19" s="11" t="s">
        <v>490</v>
      </c>
      <c r="B19" s="12" t="n">
        <v>15000</v>
      </c>
      <c r="C19" s="9" t="n">
        <v>1</v>
      </c>
      <c r="D19" s="20" t="n">
        <f aca="false">B19/C19</f>
        <v>15000</v>
      </c>
      <c r="E19" s="4" t="s">
        <v>491</v>
      </c>
    </row>
    <row r="21" customFormat="false" ht="15" hidden="false" customHeight="false" outlineLevel="0" collapsed="false">
      <c r="A21" s="30" t="s">
        <v>492</v>
      </c>
    </row>
    <row r="22" customFormat="false" ht="15" hidden="false" customHeight="false" outlineLevel="0" collapsed="false">
      <c r="A22" s="4" t="s">
        <v>493</v>
      </c>
      <c r="B22" s="9" t="n">
        <v>180</v>
      </c>
    </row>
    <row r="23" customFormat="false" ht="15" hidden="false" customHeight="false" outlineLevel="0" collapsed="false">
      <c r="A23" s="4" t="s">
        <v>494</v>
      </c>
      <c r="B23" s="9" t="n">
        <v>10</v>
      </c>
    </row>
    <row r="24" customFormat="false" ht="15" hidden="false" customHeight="false" outlineLevel="0" collapsed="false">
      <c r="A24" s="4" t="s">
        <v>495</v>
      </c>
      <c r="B24" s="32" t="n">
        <v>6</v>
      </c>
      <c r="C24" s="32" t="n">
        <v>3</v>
      </c>
      <c r="D24" s="32" t="n">
        <v>1.5</v>
      </c>
      <c r="E24" s="32" t="n">
        <v>0</v>
      </c>
    </row>
    <row r="26" customFormat="false" ht="31.5" hidden="false" customHeight="true" outlineLevel="0" collapsed="false">
      <c r="A26" s="3" t="s">
        <v>312</v>
      </c>
      <c r="B26" s="3" t="s">
        <v>496</v>
      </c>
      <c r="C26" s="3" t="s">
        <v>497</v>
      </c>
      <c r="D26" s="3" t="s">
        <v>498</v>
      </c>
      <c r="E26" s="3" t="s">
        <v>499</v>
      </c>
      <c r="F26" s="3" t="s">
        <v>500</v>
      </c>
    </row>
    <row r="27" customFormat="false" ht="15" hidden="false" customHeight="false" outlineLevel="0" collapsed="false">
      <c r="A27" s="31" t="str">
        <f aca="false">낚시터!B6</f>
        <v>하천</v>
      </c>
      <c r="B27" s="20" t="n">
        <f aca="false">MAX(100,ROUND(낚시터!F6*$B$23/10,0)*10)</f>
        <v>230</v>
      </c>
      <c r="C27" s="20" t="n">
        <f aca="false">B27*B$24</f>
        <v>1380</v>
      </c>
      <c r="D27" s="20" t="n">
        <f aca="false">B27*C$24</f>
        <v>690</v>
      </c>
      <c r="E27" s="20" t="n">
        <f aca="false">B27*D$24</f>
        <v>345</v>
      </c>
      <c r="F27" s="4" t="s">
        <v>501</v>
      </c>
    </row>
    <row r="28" customFormat="false" ht="15" hidden="false" customHeight="false" outlineLevel="0" collapsed="false">
      <c r="A28" s="31" t="str">
        <f aca="false">낚시터!B7</f>
        <v>강</v>
      </c>
      <c r="B28" s="20" t="n">
        <f aca="false">MAX(100,ROUND(낚시터!F7*$B$23/10,0)*10)</f>
        <v>470</v>
      </c>
      <c r="C28" s="20" t="n">
        <f aca="false">B28*B$24</f>
        <v>2820</v>
      </c>
      <c r="D28" s="20" t="n">
        <f aca="false">B28*C$24</f>
        <v>1410</v>
      </c>
      <c r="E28" s="20" t="n">
        <f aca="false">B28*D$24</f>
        <v>705</v>
      </c>
      <c r="F28" s="4" t="s">
        <v>501</v>
      </c>
    </row>
    <row r="29" customFormat="false" ht="15" hidden="false" customHeight="false" outlineLevel="0" collapsed="false">
      <c r="A29" s="31" t="str">
        <f aca="false">낚시터!B8</f>
        <v>방파제</v>
      </c>
      <c r="B29" s="20" t="n">
        <f aca="false">MAX(100,ROUND(낚시터!F8*$B$23/10,0)*10)</f>
        <v>1220</v>
      </c>
      <c r="C29" s="20" t="n">
        <f aca="false">B29*B$24</f>
        <v>7320</v>
      </c>
      <c r="D29" s="20" t="n">
        <f aca="false">B29*C$24</f>
        <v>3660</v>
      </c>
      <c r="E29" s="20" t="n">
        <f aca="false">B29*D$24</f>
        <v>1830</v>
      </c>
      <c r="F29" s="4" t="s">
        <v>501</v>
      </c>
    </row>
    <row r="30" customFormat="false" ht="15" hidden="false" customHeight="false" outlineLevel="0" collapsed="false">
      <c r="A30" s="31" t="str">
        <f aca="false">낚시터!B9</f>
        <v>독도</v>
      </c>
      <c r="B30" s="20" t="n">
        <f aca="false">MAX(100,ROUND(낚시터!F9*$B$23/10,0)*10)</f>
        <v>2690</v>
      </c>
      <c r="C30" s="20" t="n">
        <f aca="false">B30*B$24</f>
        <v>16140</v>
      </c>
      <c r="D30" s="20" t="n">
        <f aca="false">B30*C$24</f>
        <v>8070</v>
      </c>
      <c r="E30" s="20" t="n">
        <f aca="false">B30*D$24</f>
        <v>4035</v>
      </c>
      <c r="F30" s="4" t="s">
        <v>501</v>
      </c>
    </row>
    <row r="31" customFormat="false" ht="15" hidden="false" customHeight="false" outlineLevel="0" collapsed="false">
      <c r="A31" s="31" t="str">
        <f aca="false">낚시터!B10</f>
        <v>배낚시</v>
      </c>
      <c r="B31" s="20" t="n">
        <f aca="false">MAX(100,ROUND(낚시터!F10*$B$23/10,0)*10)</f>
        <v>7580</v>
      </c>
      <c r="C31" s="20" t="n">
        <f aca="false">B31*B$24</f>
        <v>45480</v>
      </c>
      <c r="D31" s="20" t="n">
        <f aca="false">B31*C$24</f>
        <v>22740</v>
      </c>
      <c r="E31" s="20" t="n">
        <f aca="false">B31*D$24</f>
        <v>11370</v>
      </c>
      <c r="F31" s="4" t="s">
        <v>501</v>
      </c>
    </row>
    <row r="32" customFormat="false" ht="15" hidden="false" customHeight="false" outlineLevel="0" collapsed="false">
      <c r="A32" s="31" t="str">
        <f aca="false">낚시터!B11</f>
        <v>아마존</v>
      </c>
      <c r="B32" s="20" t="n">
        <f aca="false">MAX(100,ROUND(낚시터!F11*$B$23/10,0)*10)</f>
        <v>12620</v>
      </c>
      <c r="C32" s="20" t="n">
        <f aca="false">B32*B$24</f>
        <v>75720</v>
      </c>
      <c r="D32" s="20" t="n">
        <f aca="false">B32*C$24</f>
        <v>37860</v>
      </c>
      <c r="E32" s="20" t="n">
        <f aca="false">B32*D$24</f>
        <v>18930</v>
      </c>
      <c r="F32" s="4" t="s">
        <v>501</v>
      </c>
    </row>
    <row r="33" customFormat="false" ht="15" hidden="false" customHeight="false" outlineLevel="0" collapsed="false">
      <c r="A33" s="31" t="str">
        <f aca="false">낚시터!B12</f>
        <v>알래스카</v>
      </c>
      <c r="B33" s="20" t="n">
        <f aca="false">MAX(100,ROUND(낚시터!F12*$B$23/10,0)*10)</f>
        <v>20090</v>
      </c>
      <c r="C33" s="20" t="n">
        <f aca="false">B33*B$24</f>
        <v>120540</v>
      </c>
      <c r="D33" s="20" t="n">
        <f aca="false">B33*C$24</f>
        <v>60270</v>
      </c>
      <c r="E33" s="20" t="n">
        <f aca="false">B33*D$24</f>
        <v>30135</v>
      </c>
      <c r="F33" s="4" t="s">
        <v>501</v>
      </c>
    </row>
    <row r="35" customFormat="false" ht="15" hidden="false" customHeight="false" outlineLevel="0" collapsed="false">
      <c r="A35" s="30" t="s">
        <v>502</v>
      </c>
    </row>
    <row r="36" customFormat="false" ht="15" hidden="false" customHeight="false" outlineLevel="0" collapsed="false">
      <c r="A36" s="4" t="s">
        <v>503</v>
      </c>
      <c r="B36" s="21" t="n">
        <v>0.1</v>
      </c>
    </row>
    <row r="37" customFormat="false" ht="15" hidden="false" customHeight="false" outlineLevel="0" collapsed="false">
      <c r="A37" s="4" t="s">
        <v>504</v>
      </c>
      <c r="B37" s="21" t="n">
        <v>0.1</v>
      </c>
    </row>
    <row r="38" customFormat="false" ht="15" hidden="false" customHeight="false" outlineLevel="0" collapsed="false">
      <c r="A38" s="4" t="s">
        <v>505</v>
      </c>
      <c r="B38" s="12" t="n">
        <v>150</v>
      </c>
    </row>
    <row r="39" customFormat="false" ht="31.5" hidden="false" customHeight="true" outlineLevel="0" collapsed="false">
      <c r="A39" s="3" t="s">
        <v>506</v>
      </c>
      <c r="B39" s="3" t="s">
        <v>447</v>
      </c>
      <c r="C39" s="3" t="s">
        <v>507</v>
      </c>
    </row>
    <row r="40" customFormat="false" ht="15" hidden="false" customHeight="false" outlineLevel="0" collapsed="false">
      <c r="A40" s="14" t="n">
        <v>1</v>
      </c>
      <c r="B40" s="28" t="n">
        <f aca="false">1+A40*$B$36</f>
        <v>1.1</v>
      </c>
      <c r="C40" s="28" t="n">
        <f aca="false">1+A40*$B$37</f>
        <v>1.1</v>
      </c>
    </row>
    <row r="41" customFormat="false" ht="15" hidden="false" customHeight="false" outlineLevel="0" collapsed="false">
      <c r="A41" s="14" t="n">
        <v>2</v>
      </c>
      <c r="B41" s="28" t="n">
        <f aca="false">1+A41*$B$36</f>
        <v>1.2</v>
      </c>
      <c r="C41" s="28" t="n">
        <f aca="false">1+A41*$B$37</f>
        <v>1.2</v>
      </c>
    </row>
    <row r="42" customFormat="false" ht="15" hidden="false" customHeight="false" outlineLevel="0" collapsed="false">
      <c r="A42" s="14" t="n">
        <v>3</v>
      </c>
      <c r="B42" s="28" t="n">
        <f aca="false">1+A42*$B$36</f>
        <v>1.3</v>
      </c>
      <c r="C42" s="28" t="n">
        <f aca="false">1+A42*$B$37</f>
        <v>1.3</v>
      </c>
    </row>
    <row r="43" customFormat="false" ht="15" hidden="false" customHeight="false" outlineLevel="0" collapsed="false">
      <c r="A43" s="14" t="n">
        <v>4</v>
      </c>
      <c r="B43" s="28" t="n">
        <f aca="false">1+A43*$B$36</f>
        <v>1.4</v>
      </c>
      <c r="C43" s="28" t="n">
        <f aca="false">1+A43*$B$37</f>
        <v>1.4</v>
      </c>
    </row>
    <row r="44" customFormat="false" ht="15" hidden="false" customHeight="false" outlineLevel="0" collapsed="false">
      <c r="A44" s="14" t="n">
        <v>5</v>
      </c>
      <c r="B44" s="28" t="n">
        <f aca="false">1+A44*$B$36</f>
        <v>1.5</v>
      </c>
      <c r="C44" s="28" t="n">
        <f aca="false">1+A44*$B$37</f>
        <v>1.5</v>
      </c>
    </row>
    <row r="46" customFormat="false" ht="17.15" hidden="false" customHeight="false" outlineLevel="0" collapsed="false">
      <c r="A46" s="30" t="s">
        <v>508</v>
      </c>
    </row>
    <row r="47" customFormat="false" ht="15" hidden="false" customHeight="false" outlineLevel="0" collapsed="false">
      <c r="A47" s="4" t="s">
        <v>509</v>
      </c>
      <c r="B47" s="9" t="n">
        <v>4</v>
      </c>
      <c r="C47" s="9" t="n">
        <v>7</v>
      </c>
    </row>
    <row r="48" customFormat="false" ht="15" hidden="false" customHeight="false" outlineLevel="0" collapsed="false">
      <c r="A48" s="4" t="s">
        <v>510</v>
      </c>
      <c r="B48" s="9" t="n">
        <v>25</v>
      </c>
    </row>
    <row r="49" customFormat="false" ht="15" hidden="false" customHeight="false" outlineLevel="0" collapsed="false">
      <c r="A49" s="4" t="s">
        <v>511</v>
      </c>
      <c r="B49" s="9" t="n">
        <v>2</v>
      </c>
    </row>
    <row r="50" customFormat="false" ht="15" hidden="false" customHeight="false" outlineLevel="0" collapsed="false">
      <c r="A50" s="4" t="s">
        <v>512</v>
      </c>
      <c r="B50" s="9" t="n">
        <v>5</v>
      </c>
    </row>
    <row r="51" customFormat="false" ht="31.5" hidden="false" customHeight="true" outlineLevel="0" collapsed="false">
      <c r="A51" s="3" t="s">
        <v>513</v>
      </c>
      <c r="B51" s="3" t="s">
        <v>514</v>
      </c>
      <c r="C51" s="3" t="s">
        <v>515</v>
      </c>
      <c r="D51" s="3" t="s">
        <v>516</v>
      </c>
    </row>
    <row r="52" customFormat="false" ht="15" hidden="false" customHeight="false" outlineLevel="0" collapsed="false">
      <c r="A52" s="31" t="str">
        <f aca="false">낚시터!B6</f>
        <v>하천</v>
      </c>
      <c r="B52" s="20" t="n">
        <f aca="false">낚시터!F6*$B$47</f>
        <v>91.6240058750543</v>
      </c>
      <c r="C52" s="20" t="n">
        <f aca="false">낚시터!F6*$C$47</f>
        <v>160.342010281345</v>
      </c>
      <c r="D52" s="20" t="n">
        <f aca="false">낚시터!F6*$B$48</f>
        <v>572.650036719089</v>
      </c>
    </row>
    <row r="53" customFormat="false" ht="15" hidden="false" customHeight="false" outlineLevel="0" collapsed="false">
      <c r="A53" s="31" t="str">
        <f aca="false">낚시터!B7</f>
        <v>강</v>
      </c>
      <c r="B53" s="20" t="n">
        <f aca="false">낚시터!F7*$B$47</f>
        <v>188.059467923745</v>
      </c>
      <c r="C53" s="20" t="n">
        <f aca="false">낚시터!F7*$C$47</f>
        <v>329.104068866554</v>
      </c>
      <c r="D53" s="20" t="n">
        <f aca="false">낚시터!F7*$B$48</f>
        <v>1175.37167452341</v>
      </c>
    </row>
    <row r="54" customFormat="false" ht="15" hidden="false" customHeight="false" outlineLevel="0" collapsed="false">
      <c r="A54" s="31" t="str">
        <f aca="false">낚시터!B8</f>
        <v>방파제</v>
      </c>
      <c r="B54" s="20" t="n">
        <f aca="false">낚시터!F8*$B$47</f>
        <v>488.886149925011</v>
      </c>
      <c r="C54" s="20" t="n">
        <f aca="false">낚시터!F8*$C$47</f>
        <v>855.550762368769</v>
      </c>
      <c r="D54" s="20" t="n">
        <f aca="false">낚시터!F8*$B$48</f>
        <v>3055.53843703132</v>
      </c>
    </row>
    <row r="55" customFormat="false" ht="15" hidden="false" customHeight="false" outlineLevel="0" collapsed="false">
      <c r="A55" s="31" t="str">
        <f aca="false">낚시터!B9</f>
        <v>독도</v>
      </c>
      <c r="B55" s="20" t="n">
        <f aca="false">낚시터!F9*$B$47</f>
        <v>1077.71675325485</v>
      </c>
      <c r="C55" s="20" t="n">
        <f aca="false">낚시터!F9*$C$47</f>
        <v>1886.00431819599</v>
      </c>
      <c r="D55" s="20" t="n">
        <f aca="false">낚시터!F9*$B$48</f>
        <v>6735.72970784282</v>
      </c>
    </row>
    <row r="56" customFormat="false" ht="15" hidden="false" customHeight="false" outlineLevel="0" collapsed="false">
      <c r="A56" s="31" t="str">
        <f aca="false">낚시터!B10</f>
        <v>배낚시</v>
      </c>
      <c r="B56" s="20" t="n">
        <f aca="false">낚시터!F10*$B$47</f>
        <v>3033.07711995326</v>
      </c>
      <c r="C56" s="20" t="n">
        <f aca="false">낚시터!F10*$C$47</f>
        <v>5307.88495991821</v>
      </c>
      <c r="D56" s="20" t="n">
        <f aca="false">낚시터!F10*$B$48</f>
        <v>18956.7319997079</v>
      </c>
    </row>
    <row r="57" customFormat="false" ht="15" hidden="false" customHeight="false" outlineLevel="0" collapsed="false">
      <c r="A57" s="31" t="str">
        <f aca="false">낚시터!B11</f>
        <v>아마존</v>
      </c>
      <c r="B57" s="20" t="n">
        <f aca="false">낚시터!F11*$B$47</f>
        <v>5047.32108555171</v>
      </c>
      <c r="C57" s="20" t="n">
        <f aca="false">낚시터!F11*$C$47</f>
        <v>8832.81189971549</v>
      </c>
      <c r="D57" s="20" t="n">
        <f aca="false">낚시터!F11*$B$48</f>
        <v>31545.7567846982</v>
      </c>
    </row>
    <row r="58" customFormat="false" ht="15" hidden="false" customHeight="false" outlineLevel="0" collapsed="false">
      <c r="A58" s="31" t="str">
        <f aca="false">낚시터!B12</f>
        <v>알래스카</v>
      </c>
      <c r="B58" s="20" t="n">
        <f aca="false">낚시터!F12*$B$47</f>
        <v>8035.34812427582</v>
      </c>
      <c r="C58" s="20" t="n">
        <f aca="false">낚시터!F12*$C$47</f>
        <v>14061.8592174827</v>
      </c>
      <c r="D58" s="20" t="n">
        <f aca="false">낚시터!F12*$B$48</f>
        <v>50220.9257767239</v>
      </c>
    </row>
    <row r="60" customFormat="false" ht="15" hidden="false" customHeight="false" outlineLevel="0" collapsed="false">
      <c r="A60" s="30" t="s">
        <v>517</v>
      </c>
    </row>
    <row r="61" customFormat="false" ht="15" hidden="false" customHeight="false" outlineLevel="0" collapsed="false">
      <c r="A61" s="4" t="s">
        <v>518</v>
      </c>
      <c r="B61" s="10" t="n">
        <v>0.01</v>
      </c>
    </row>
    <row r="62" customFormat="false" ht="15" hidden="false" customHeight="false" outlineLevel="0" collapsed="false">
      <c r="A62" s="4" t="s">
        <v>519</v>
      </c>
      <c r="B62" s="10" t="n">
        <v>0.01</v>
      </c>
    </row>
    <row r="63" customFormat="false" ht="15" hidden="false" customHeight="false" outlineLevel="0" collapsed="false">
      <c r="A63" s="4" t="s">
        <v>520</v>
      </c>
      <c r="B63" s="21" t="n">
        <v>0.4</v>
      </c>
      <c r="C63" s="37" t="n">
        <v>5</v>
      </c>
    </row>
    <row r="64" customFormat="false" ht="15" hidden="false" customHeight="false" outlineLevel="0" collapsed="false">
      <c r="A64" s="4" t="s">
        <v>521</v>
      </c>
      <c r="B64" s="21" t="n">
        <v>0.6</v>
      </c>
      <c r="C64" s="37" t="n">
        <v>3</v>
      </c>
    </row>
    <row r="65" customFormat="false" ht="15" hidden="false" customHeight="false" outlineLevel="0" collapsed="false">
      <c r="A65" s="4" t="s">
        <v>522</v>
      </c>
      <c r="B65" s="29" t="n">
        <f aca="false">$B$61</f>
        <v>0.01</v>
      </c>
    </row>
    <row r="66" customFormat="false" ht="15" hidden="false" customHeight="false" outlineLevel="0" collapsed="false">
      <c r="A66" s="4" t="s">
        <v>523</v>
      </c>
      <c r="B66" s="29" t="n">
        <f aca="false">$B$61+1.3*$B$62</f>
        <v>0.023</v>
      </c>
    </row>
    <row r="68" customFormat="false" ht="15" hidden="false" customHeight="false" outlineLevel="0" collapsed="false">
      <c r="A68" s="30" t="s">
        <v>524</v>
      </c>
    </row>
    <row r="69" customFormat="false" ht="15" hidden="false" customHeight="false" outlineLevel="0" collapsed="false">
      <c r="A69" s="4" t="s">
        <v>525</v>
      </c>
      <c r="B69" s="9" t="n">
        <v>1</v>
      </c>
      <c r="C69" s="4" t="str">
        <f aca="false">IF(B69&lt;0,"끔",INDEX(등급!$A$4:$A$8,B69+1))</f>
        <v>고급</v>
      </c>
    </row>
    <row r="70" customFormat="false" ht="15" hidden="false" customHeight="false" outlineLevel="0" collapsed="false">
      <c r="A70" s="4" t="s">
        <v>526</v>
      </c>
      <c r="B70" s="4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48"/>
  </cols>
  <sheetData>
    <row r="1" customFormat="false" ht="16.15" hidden="false" customHeight="false" outlineLevel="0" collapsed="false">
      <c r="A1" s="1" t="s">
        <v>528</v>
      </c>
    </row>
    <row r="2" customFormat="false" ht="15" hidden="false" customHeight="false" outlineLevel="0" collapsed="false">
      <c r="A2" s="2" t="s">
        <v>529</v>
      </c>
    </row>
    <row r="4" customFormat="false" ht="31.5" hidden="false" customHeight="true" outlineLevel="0" collapsed="false">
      <c r="A4" s="3" t="s">
        <v>312</v>
      </c>
      <c r="B4" s="3" t="s">
        <v>530</v>
      </c>
      <c r="C4" s="3" t="s">
        <v>531</v>
      </c>
      <c r="D4" s="3" t="s">
        <v>532</v>
      </c>
      <c r="E4" s="3" t="s">
        <v>129</v>
      </c>
      <c r="F4" s="3" t="s">
        <v>533</v>
      </c>
    </row>
    <row r="5" customFormat="false" ht="15" hidden="false" customHeight="false" outlineLevel="0" collapsed="false">
      <c r="A5" s="4" t="s">
        <v>321</v>
      </c>
      <c r="B5" s="14" t="n">
        <v>3</v>
      </c>
      <c r="C5" s="11" t="s">
        <v>534</v>
      </c>
      <c r="D5" s="4" t="s">
        <v>535</v>
      </c>
      <c r="E5" s="21" t="n">
        <v>0.15</v>
      </c>
      <c r="F5" s="4" t="s">
        <v>536</v>
      </c>
    </row>
    <row r="6" customFormat="false" ht="15" hidden="false" customHeight="false" outlineLevel="0" collapsed="false">
      <c r="A6" s="4" t="s">
        <v>323</v>
      </c>
      <c r="B6" s="14" t="n">
        <v>6</v>
      </c>
      <c r="C6" s="11" t="s">
        <v>537</v>
      </c>
      <c r="D6" s="4" t="s">
        <v>538</v>
      </c>
      <c r="E6" s="21" t="n">
        <v>0.05</v>
      </c>
      <c r="F6" s="4" t="s">
        <v>539</v>
      </c>
    </row>
    <row r="7" customFormat="false" ht="15" hidden="false" customHeight="false" outlineLevel="0" collapsed="false">
      <c r="A7" s="4" t="s">
        <v>325</v>
      </c>
      <c r="B7" s="14" t="n">
        <v>7</v>
      </c>
      <c r="C7" s="11" t="s">
        <v>540</v>
      </c>
      <c r="D7" s="4" t="s">
        <v>541</v>
      </c>
      <c r="E7" s="21" t="n">
        <v>0.1</v>
      </c>
      <c r="F7" s="4" t="s">
        <v>542</v>
      </c>
    </row>
    <row r="8" customFormat="false" ht="15" hidden="false" customHeight="false" outlineLevel="0" collapsed="false">
      <c r="A8" s="4" t="s">
        <v>327</v>
      </c>
      <c r="B8" s="14" t="n">
        <v>8</v>
      </c>
      <c r="C8" s="11" t="s">
        <v>543</v>
      </c>
      <c r="D8" s="4" t="s">
        <v>544</v>
      </c>
      <c r="E8" s="32" t="n">
        <v>0.3</v>
      </c>
      <c r="F8" s="4" t="s">
        <v>545</v>
      </c>
    </row>
    <row r="9" customFormat="false" ht="15" hidden="false" customHeight="false" outlineLevel="0" collapsed="false">
      <c r="A9" s="4" t="s">
        <v>329</v>
      </c>
      <c r="B9" s="14" t="n">
        <v>7</v>
      </c>
      <c r="C9" s="11" t="s">
        <v>546</v>
      </c>
      <c r="D9" s="4" t="s">
        <v>541</v>
      </c>
      <c r="E9" s="21" t="n">
        <v>0.05</v>
      </c>
      <c r="F9" s="4" t="s">
        <v>542</v>
      </c>
    </row>
    <row r="10" customFormat="false" ht="15" hidden="false" customHeight="false" outlineLevel="0" collapsed="false">
      <c r="A10" s="4" t="s">
        <v>331</v>
      </c>
      <c r="B10" s="14" t="n">
        <v>6</v>
      </c>
      <c r="C10" s="11" t="s">
        <v>547</v>
      </c>
      <c r="D10" s="4" t="s">
        <v>548</v>
      </c>
      <c r="E10" s="21" t="n">
        <v>0.1</v>
      </c>
      <c r="F10" s="4" t="s">
        <v>549</v>
      </c>
    </row>
    <row r="11" customFormat="false" ht="15" hidden="false" customHeight="false" outlineLevel="0" collapsed="false">
      <c r="A11" s="4" t="s">
        <v>333</v>
      </c>
      <c r="B11" s="14" t="n">
        <v>6</v>
      </c>
      <c r="C11" s="11" t="s">
        <v>550</v>
      </c>
      <c r="D11" s="4" t="s">
        <v>544</v>
      </c>
      <c r="E11" s="32" t="n">
        <v>0.2</v>
      </c>
      <c r="F11" s="4" t="s">
        <v>545</v>
      </c>
    </row>
    <row r="12" customFormat="false" ht="15" hidden="false" customHeight="false" outlineLevel="0" collapsed="false">
      <c r="A12" s="4" t="s">
        <v>335</v>
      </c>
      <c r="B12" s="14" t="n">
        <v>7</v>
      </c>
      <c r="C12" s="11" t="s">
        <v>551</v>
      </c>
      <c r="D12" s="4" t="s">
        <v>548</v>
      </c>
      <c r="E12" s="21" t="n">
        <v>0.05</v>
      </c>
      <c r="F12" s="4" t="s">
        <v>549</v>
      </c>
    </row>
    <row r="13" customFormat="false" ht="15" hidden="false" customHeight="false" outlineLevel="0" collapsed="false">
      <c r="A13" s="4" t="s">
        <v>338</v>
      </c>
      <c r="B13" s="14" t="n">
        <v>7</v>
      </c>
      <c r="C13" s="11" t="s">
        <v>552</v>
      </c>
      <c r="D13" s="4" t="s">
        <v>553</v>
      </c>
      <c r="E13" s="35" t="n">
        <v>30</v>
      </c>
      <c r="F13" s="4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2026-10-12T16:32:52Z</dcterms:created>
  <dc:creator>openpyxl</dc:creator>
  <dc:description/>
  <dc:language>en-US</dc:language>
  <cp:lastModifiedBy/>
  <dcterms:modified xsi:type="dcterms:W3CDTF">2026-10-12T16:32:52Z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