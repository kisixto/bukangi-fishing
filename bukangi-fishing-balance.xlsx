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보스" sheetId="8" state="visible" r:id="rId10"/>
    <sheet name="메달" sheetId="9" state="visible" r:id="rId11"/>
    <sheet name="시간·날씨" sheetId="10" state="visible" r:id="rId12"/>
    <sheet name="콘텐츠" sheetId="11" state="visible" r:id="rId13"/>
    <sheet name="도감 보상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단계 값</t>
        </r>
        <r>
          <rPr>
            <sz val="10"/>
            <rFont val="Arial"/>
            <family val="2"/>
          </rPr>
          <t xml:space="preserve">. 3</t>
        </r>
        <r>
          <rPr>
            <sz val="10"/>
            <rFont val="Noto Sans CJK SC"/>
            <family val="2"/>
          </rPr>
          <t xml:space="preserve">단계는 </t>
        </r>
        <r>
          <rPr>
            <sz val="10"/>
            <rFont val="Arial"/>
            <family val="2"/>
          </rPr>
          <t xml:space="preserve">0.14×</t>
        </r>
        <r>
          <rPr>
            <sz val="10"/>
            <rFont val="Noto Sans CJK SC"/>
            <family val="2"/>
          </rPr>
          <t xml:space="preserve">난이도²</t>
        </r>
        <r>
          <rPr>
            <sz val="10"/>
            <rFont val="Arial"/>
            <family val="2"/>
          </rPr>
          <t xml:space="preserve">×1.5. </t>
        </r>
        <r>
          <rPr>
            <sz val="10"/>
            <rFont val="Noto Sans CJK SC"/>
            <family val="2"/>
          </rPr>
          <t xml:space="preserve">일반 물고기 기본 당김은 </t>
        </r>
        <r>
          <rPr>
            <sz val="10"/>
            <rFont val="Arial"/>
            <family val="2"/>
          </rPr>
          <t xml:space="preserve">0.24+</t>
        </r>
        <r>
          <rPr>
            <sz val="10"/>
            <rFont val="Noto Sans CJK SC"/>
            <family val="2"/>
          </rPr>
          <t xml:space="preserve">난이도</t>
        </r>
        <r>
          <rPr>
            <sz val="10"/>
            <rFont val="Arial"/>
            <family val="2"/>
          </rPr>
          <t xml:space="preserve">×0.36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Noto Sans CJK SC"/>
            <family val="2"/>
          </rPr>
          <t xml:space="preserve">측정값이라 수식이 아닙니다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날씨 이벤트 없는 상태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위 값을 바꾸면 게임에서 다시 재야 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Noto Sans CJK SC"/>
            <family val="2"/>
          </rPr>
          <t xml:space="preserve">예시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알래스카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마리 기대가 정도</t>
        </r>
      </text>
    </comment>
    <comment ref="B50" authorId="0">
      <text>
        <r>
          <rPr>
            <sz val="10"/>
            <rFont val="Noto Sans CJK SC"/>
            <family val="2"/>
          </rPr>
          <t xml:space="preserve">예전엔 부산 이용권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낚시터를 건너뛸 수 있어 대물 미끼로 바꿈</t>
        </r>
      </text>
    </comment>
  </commentList>
</comments>
</file>

<file path=xl/sharedStrings.xml><?xml version="1.0" encoding="utf-8"?>
<sst xmlns="http://schemas.openxmlformats.org/spreadsheetml/2006/main" count="867" uniqueCount="555">
  <si>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</si>
  <si>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</si>
  <si>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</si>
  <si>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</si>
  <si>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</si>
  <si>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</si>
  <si>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</si>
  <si>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</si>
  <si>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</si>
  <si>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</si>
  <si>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</si>
  <si>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</si>
  <si>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</si>
  <si>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</si>
  <si>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</si>
  <si>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</si>
  <si>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</si>
  <si>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</si>
  <si>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</si>
  <si>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</si>
  <si>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</si>
  <si>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</si>
  <si>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</si>
  <si>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10단계까지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</si>
  <si>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</si>
  <si>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</si>
  <si>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</si>
  <si>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</si>
  <si>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부캉이까지 기대 입질 수 (황금 미끼 +5)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</si>
  <si>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</si>
  <si>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</si>
  <si>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</si>
  <si>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</si>
  <si>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</si>
  <si>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</si>
  <si>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</si>
  <si>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</si>
  <si>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</si>
  <si>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</si>
  <si>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</si>
  <si>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</t>
  </si>
  <si>
    <t xml:space="preserve">자동 판매가 생겨 도감 보상에서 뺌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</si>
  <si>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</si>
  <si>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</si>
  <si>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</si>
  <si>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</si>
  <si>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</si>
  <si>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</si>
  <si>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</si>
  <si>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</si>
  <si>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</si>
  <si>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</si>
  <si>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</si>
  <si>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</si>
  <si>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</si>
  <si>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</si>
  <si>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</si>
  <si>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</si>
  <si>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</si>
  <si>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</si>
  <si>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</si>
  <si>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</si>
  <si>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</si>
  <si>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</si>
  <si>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</si>
  <si>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</si>
  <si>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</si>
  <si>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</si>
  <si>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</si>
  <si>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</si>
  <si>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</si>
  <si>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</si>
  <si>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</si>
  <si>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</si>
  <si>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</si>
  <si>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</si>
  <si>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</si>
  <si>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</si>
  <si>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</si>
  <si>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</si>
  <si>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</si>
  <si>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</si>
  <si>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</si>
  <si>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</si>
  <si>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</si>
  <si>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</si>
  <si>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</si>
  <si>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</si>
  <si>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</si>
  <si>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</si>
  <si>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</si>
  <si>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</si>
  <si>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</si>
  <si>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</si>
  <si>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</si>
  <si>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</si>
  <si>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</si>
  <si>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</si>
  <si>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</si>
  <si>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</si>
  <si>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</si>
  <si>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</si>
  <si>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</si>
  <si>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</si>
  <si>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</si>
  <si>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</si>
  <si>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</si>
  <si>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</si>
  <si>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</si>
  <si>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</si>
  <si>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</si>
  <si>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</si>
  <si>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</si>
  <si>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</si>
  <si>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</si>
  <si>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</si>
  <si>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</si>
  <si>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</si>
  <si>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</si>
  <si>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</si>
  <si>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</si>
  <si>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</si>
  <si>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</si>
  <si>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</si>
  <si>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</si>
  <si>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</si>
  <si>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</si>
  <si>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</si>
  <si>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</si>
  <si>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</si>
  <si>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</si>
  <si>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</si>
  <si>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</si>
  <si>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</si>
  <si>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</si>
  <si>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</si>
  <si>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</si>
  <si>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</si>
  <si>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</si>
  <si>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</si>
  <si>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</si>
  <si>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</si>
  <si>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</si>
  <si>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</si>
  <si>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전설의 장대 +1</t>
  </si>
  <si>
    <t xml:space="preserve">적정 장력 구간 폭 (대를 세우면 돌진 흡수 62%)</t>
  </si>
  <si>
    <t xml:space="preserve">전설의 장대 +2</t>
  </si>
  <si>
    <t xml:space="preserve">적정 장력 구간 폭 (대를 세우면 돌진 흡수 64%)</t>
  </si>
  <si>
    <t xml:space="preserve">전설의 장대 +3</t>
  </si>
  <si>
    <t xml:space="preserve">적정 장력 구간 폭 (대를 세우면 돌진 흡수 66%)</t>
  </si>
  <si>
    <t xml:space="preserve">전설의 장대 +4</t>
  </si>
  <si>
    <t xml:space="preserve">적정 장력 구간 폭 (대를 세우면 돌진 흡수 68%)</t>
  </si>
  <si>
    <t xml:space="preserve">전설의 장대 +5</t>
  </si>
  <si>
    <t xml:space="preserve">적정 장력 구간 폭 (대를 세우면 돌진 흡수 70%)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</si>
  <si>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</si>
  <si>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</si>
  <si>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</si>
  <si>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</si>
  <si>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</si>
  <si>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</si>
  <si>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</si>
  <si>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명인의 릴 +1</t>
  </si>
  <si>
    <t xml:space="preserve">명인의 릴 +2</t>
  </si>
  <si>
    <t xml:space="preserve">명인의 릴 +3</t>
  </si>
  <si>
    <t xml:space="preserve">명인의 릴 +4</t>
  </si>
  <si>
    <t xml:space="preserve">명인의 릴 +5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</si>
  <si>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</si>
  <si>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</si>
  <si>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</si>
  <si>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</si>
  <si>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</si>
  <si>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</si>
  <si>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</si>
  <si>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초강력 PE +1</t>
  </si>
  <si>
    <t xml:space="preserve">초강력 PE +2</t>
  </si>
  <si>
    <t xml:space="preserve">초강력 PE +3</t>
  </si>
  <si>
    <t xml:space="preserve">초강력 PE +4</t>
  </si>
  <si>
    <t xml:space="preserve">초강력 PE +5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</si>
  <si>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</si>
  <si>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</si>
  <si>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</si>
  <si>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</si>
  <si>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</si>
  <si>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</si>
  <si>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</si>
  <si>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황금 미끼 +1</t>
  </si>
  <si>
    <t xml:space="preserve">황금 미끼 +2</t>
  </si>
  <si>
    <t xml:space="preserve">황금 미끼 +3</t>
  </si>
  <si>
    <t xml:space="preserve">황금 미끼 +4</t>
  </si>
  <si>
    <t xml:space="preserve">황금 미끼 +5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</si>
  <si>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</si>
  <si>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</si>
  <si>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</si>
  <si>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</si>
  <si>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</si>
  <si>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</si>
  <si>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</si>
  <si>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</si>
  <si>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</si>
  <si>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</si>
  <si>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</si>
  <si>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</si>
  <si>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</si>
  <si>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</si>
  <si>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</si>
  <si>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</si>
  <si>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</si>
  <si>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</si>
  <si>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</si>
  <si>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</si>
  <si>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</si>
  <si>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</si>
  <si>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</si>
  <si>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</si>
  <si>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</si>
  <si>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</si>
  <si>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</si>
  <si>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</si>
  <si>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</si>
  <si>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</si>
  <si>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</si>
  <si>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</si>
  <si>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</si>
  <si>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</si>
  <si>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</si>
  <si>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</si>
  <si>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</si>
  <si>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</si>
  <si>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</si>
  <si>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</si>
  <si>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</si>
  <si>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</si>
  <si>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</si>
  <si>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</si>
  <si>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</si>
  <si>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</si>
  <si>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</si>
  <si>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</si>
  <si>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</si>
  <si>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</si>
  <si>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</si>
  <si>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</si>
  <si>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</si>
  <si>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</si>
  <si>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</si>
  <si>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</si>
  <si>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</si>
  <si>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</si>
  <si>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</si>
  <si>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</si>
  <si>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</si>
  <si>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</si>
  <si>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</si>
  <si>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</si>
  <si>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</si>
  <si>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</si>
  <si>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</si>
  <si>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</si>
  <si>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</si>
  <si>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</si>
  <si>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</si>
  <si>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</si>
  <si>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</si>
  <si>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</si>
  <si>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</si>
  <si>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</si>
  <si>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</si>
  <si>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</si>
  <si>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</si>
  <si>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</si>
  <si>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</si>
  <si>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</si>
  <si>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</si>
  <si>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</si>
  <si>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</si>
  <si>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</si>
  <si>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</si>
  <si>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</si>
  <si>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</si>
  <si>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</si>
  <si>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</si>
  <si>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</si>
  <si>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</si>
  <si>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</si>
  <si>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</si>
  <si>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</si>
  <si>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</si>
  <si>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</si>
  <si>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</si>
  <si>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</si>
  <si>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</si>
  <si>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</si>
  <si>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</si>
  <si>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</si>
  <si>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</si>
  <si>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</si>
  <si>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</si>
  <si>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</si>
  <si>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</si>
  <si>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</si>
  <si>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</si>
  <si>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</si>
  <si>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</si>
  <si>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</si>
  <si>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</si>
  <si>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</si>
  <si>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</si>
  <si>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</si>
  <si>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</si>
  <si>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</si>
  <si>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</si>
  <si>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</si>
  <si>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</si>
  <si>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</si>
  <si>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</si>
  <si>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</si>
  <si>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</si>
  <si>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</si>
  <si>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</si>
  <si>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</si>
  <si>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</si>
  <si>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</si>
  <si>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</si>
  <si>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</si>
  <si>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</si>
  <si>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</si>
  <si>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</si>
  <si>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</si>
  <si>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</si>
  <si>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</si>
  <si>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</si>
  <si>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</si>
  <si>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</si>
  <si>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</si>
  <si>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</si>
  <si>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</si>
  <si>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</si>
  <si>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</si>
  <si>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</si>
  <si>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</si>
  <si>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</si>
  <si>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</si>
  <si>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</si>
  <si>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</si>
  <si>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</si>
  <si>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</si>
  <si>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</si>
  <si>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</si>
  <si>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</si>
  <si>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</si>
  <si>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</si>
  <si>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</si>
  <si>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</si>
  <si>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</si>
  <si>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</si>
  <si>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</si>
  <si>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</si>
  <si>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</si>
  <si>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</si>
  <si>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</si>
  <si>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</si>
  <si>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</si>
  <si>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</si>
  <si>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</si>
  <si>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</si>
  <si>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</si>
  <si>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</si>
  <si>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</si>
  <si>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</si>
  <si>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</si>
  <si>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</si>
  <si>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</si>
  <si>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</si>
  <si>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</si>
  <si>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맵별 보스 대물</t>
  </si>
  <si>
    <t xml:space="preserve">그 맵에서 직접 잡은 물고기가 기척 수에 차면 다음 입질이 보스입니다. 거리에 따라 3단계로 나뉘고, 2단계부터 경고 뒤 잠수(강한 당김)가 옵니다.</t>
  </si>
  <si>
    <t xml:space="preserve">보스 크기는 t = 난수^지수로 정해집니다(일반 물고기보다 큰 개체가 잘 나옴). 놓치면 기척이 일부 남습니다.</t>
  </si>
  <si>
    <t xml:space="preserve">보스 크기 분포 지수</t>
  </si>
  <si>
    <t xml:space="preserve">놓쳤을 때 남는 기척 비율</t>
  </si>
  <si>
    <t xml:space="preserve">감기 속도 배수</t>
  </si>
  <si>
    <t xml:space="preserve">보스</t>
  </si>
  <si>
    <t xml:space="preserve">모습(기준 종)</t>
  </si>
  <si>
    <t xml:space="preserve">기척
(마리)</t>
  </si>
  <si>
    <t xml:space="preserve">난이도
(0~1)</t>
  </si>
  <si>
    <t xml:space="preserve">보스 기대
판매가 (원)</t>
  </si>
  <si>
    <t xml:space="preserve">기척 채우는 동안
기대 수입 (원)</t>
  </si>
  <si>
    <t xml:space="preserve">보스 가치
배수</t>
  </si>
  <si>
    <t xml:space="preserve">단계별 추가 당김
(2·3단계)</t>
  </si>
  <si>
    <t xml:space="preserve">잠수 당김</t>
  </si>
  <si>
    <t xml:space="preserve">여울 대장 꺽지</t>
  </si>
  <si>
    <t xml:space="preserve">왕메기</t>
  </si>
  <si>
    <t xml:space="preserve">방파제 돌돔왕</t>
  </si>
  <si>
    <t xml:space="preserve">독도 혹돔왕</t>
  </si>
  <si>
    <t xml:space="preserve">바다의 폭군 참다랑어</t>
  </si>
  <si>
    <t xml:space="preserve">괴물 피라루쿠</t>
  </si>
  <si>
    <t xml:space="preserve">전설의 핼리벗</t>
  </si>
  <si>
    <t xml:space="preserve">크기 메달</t>
  </si>
  <si>
    <t xml:space="preserve">몸길이 범위의 몇 % 지점 이상이면 메달입니다. 처음 받는 단계마다 그 종 기준가 × 보상 배수를 받습니다(동→금을 한 번에 넘으면 셋 다). 예전 2·5·15배에서 0.2·0.5·1배로 낮춤.</t>
  </si>
  <si>
    <t xml:space="preserve">메달</t>
  </si>
  <si>
    <t xml:space="preserve">범위 대비 지점</t>
  </si>
  <si>
    <t xml:space="preserve">보상 배수
(× 기준가)</t>
  </si>
  <si>
    <t xml:space="preserve">나올 확률
(떡밥)</t>
  </si>
  <si>
    <t xml:space="preserve">나올 확률
(미끼 행운 1.3)</t>
  </si>
  <si>
    <t xml:space="preserve">동메달</t>
  </si>
  <si>
    <t xml:space="preserve">은메달</t>
  </si>
  <si>
    <t xml:space="preserve">금메달</t>
  </si>
  <si>
    <t xml:space="preserve">물고기</t>
  </si>
  <si>
    <t xml:space="preserve">최소 길이</t>
  </si>
  <si>
    <t xml:space="preserve">최대 길이</t>
  </si>
  <si>
    <t xml:space="preserve">기준가 (원)</t>
  </si>
  <si>
    <t xml:space="preserve">동메달 (cm~)</t>
  </si>
  <si>
    <t xml:space="preserve">은메달 (cm~)</t>
  </si>
  <si>
    <t xml:space="preserve">금메달 (cm~)</t>
  </si>
  <si>
    <t xml:space="preserve">세 메달 보상 합 (원)</t>
  </si>
  <si>
    <t xml:space="preserve">전 종 금메달 보상 합</t>
  </si>
  <si>
    <t xml:space="preserve">시간대와 날씨</t>
  </si>
  <si>
    <t xml:space="preserve">실제 시각으로 진행합니다. 같은 시각이면 누구에게나 같은 날씨입니다. 실내 낚시터는 영향이 없고, 부산은 늘 밤입니다.</t>
  </si>
  <si>
    <t xml:space="preserve">설명</t>
  </si>
  <si>
    <t xml:space="preserve">하루 길이 (분)</t>
  </si>
  <si>
    <t xml:space="preserve">새벽 15% · 낮 40% · 저녁 15% · 밤 30%</t>
  </si>
  <si>
    <t xml:space="preserve">날씨 바뀌는 간격 (분)</t>
  </si>
  <si>
    <t xml:space="preserve">맑음 확률</t>
  </si>
  <si>
    <t xml:space="preserve">비 확률</t>
  </si>
  <si>
    <t xml:space="preserve">알래스카는 눈보라</t>
  </si>
  <si>
    <t xml:space="preserve">안개 확률</t>
  </si>
  <si>
    <t xml:space="preserve">밤: 야행성 물고기 출현 배수</t>
  </si>
  <si>
    <t xml:space="preserve">갈치·장어·메기·볼락·쥐노래미·레드테일 캣피시·링코드·해운대 은갈치</t>
  </si>
  <si>
    <t xml:space="preserve">밤: 야행성 물고기 가격 배수</t>
  </si>
  <si>
    <t xml:space="preserve">밤: 좋은 물고기 보정</t>
  </si>
  <si>
    <t xml:space="preserve">캐스팅 거리 보정과 같은 식</t>
  </si>
  <si>
    <t xml:space="preserve">비·눈보라: 좋은 물고기 보정</t>
  </si>
  <si>
    <t xml:space="preserve">비·눈보라: 입질 대기 배수</t>
  </si>
  <si>
    <t xml:space="preserve">안개: 부캉이 확률 배수</t>
  </si>
  <si>
    <t xml:space="preserve">안개: 희귀 변종 확률 배수</t>
  </si>
  <si>
    <t xml:space="preserve">맵별 1마리 평균 판매가 (게임 안에서 2만 번 굴린 측정값, 변종·부캉이 제외)</t>
  </si>
  <si>
    <t xml:space="preserve">낮·맑음</t>
  </si>
  <si>
    <t xml:space="preserve">밤·맑음</t>
  </si>
  <si>
    <t xml:space="preserve">낮·비</t>
  </si>
  <si>
    <t xml:space="preserve">낮·안개</t>
  </si>
  <si>
    <t xml:space="preserve">밤 / 낮</t>
  </si>
  <si>
    <t xml:space="preserve">비 / 맑음</t>
  </si>
  <si>
    <t xml:space="preserve">날씨 이벤트 (날씨 구간마다, 낚시터마다 정해짐)</t>
  </si>
  <si>
    <t xml:space="preserve">구간마다 이벤트가 생길 확률</t>
  </si>
  <si>
    <t xml:space="preserve">이벤트</t>
  </si>
  <si>
    <t xml:space="preserve">생기는 날씨</t>
  </si>
  <si>
    <t xml:space="preserve">출현 배수</t>
  </si>
  <si>
    <t xml:space="preserve">난이도 +</t>
  </si>
  <si>
    <t xml:space="preserve">판매가 배수</t>
  </si>
  <si>
    <t xml:space="preserve">입질 대기 배수</t>
  </si>
  <si>
    <t xml:space="preserve">좋은 물고기 보정</t>
  </si>
  <si>
    <t xml:space="preserve">물고기 떼</t>
  </si>
  <si>
    <t xml:space="preserve">맑음, 비, 안개, 눈보라</t>
  </si>
  <si>
    <t xml:space="preserve">떼가 몰려왔어요 · 그 물고기 출현 3배</t>
  </si>
  <si>
    <t xml:space="preserve">거센 물살</t>
  </si>
  <si>
    <t xml:space="preserve">비, 눈보라</t>
  </si>
  <si>
    <t xml:space="preserve">물고기 힘이 세져 잡기 어렵지만 판매가 ×1.2</t>
  </si>
  <si>
    <t xml:space="preserve">먹이 활동</t>
  </si>
  <si>
    <t xml:space="preserve">맑음</t>
  </si>
  <si>
    <t xml:space="preserve">입질이 훨씬 빨라져요</t>
  </si>
  <si>
    <t xml:space="preserve">안개 속 대물</t>
  </si>
  <si>
    <t xml:space="preserve">안개</t>
  </si>
  <si>
    <t xml:space="preserve">좋은 물고기가 늘지만 입질이 느려요</t>
  </si>
  <si>
    <t xml:space="preserve">맑을 때 이벤트별 확률 (물고기 떼·먹이 활동)</t>
  </si>
  <si>
    <t xml:space="preserve">비·눈보라일 때 거센 물살 확률</t>
  </si>
  <si>
    <t xml:space="preserve">안개일 때 안개 속 대물 확률</t>
  </si>
  <si>
    <t xml:space="preserve">수족관 · 특수 미끼 · 낚시 대회 · 환생 · 의뢰 · 희귀 변종</t>
  </si>
  <si>
    <t xml:space="preserve">수족관</t>
  </si>
  <si>
    <t xml:space="preserve">시간당 관람 수입 (전시 물고기 가격 합 대비)</t>
  </si>
  <si>
    <t xml:space="preserve">꺼 둔 동안 최대 (시간)</t>
  </si>
  <si>
    <t xml:space="preserve">예시: 전시 물고기 1마리 평균 가격 (원)</t>
  </si>
  <si>
    <t xml:space="preserve">수조</t>
  </si>
  <si>
    <t xml:space="preserve">비용 (원)</t>
  </si>
  <si>
    <t xml:space="preserve">전시 칸</t>
  </si>
  <si>
    <t xml:space="preserve">가득 채웠을 때
시간당 수입 (원)</t>
  </si>
  <si>
    <t xml:space="preserve">하루 최대 (원)</t>
  </si>
  <si>
    <t xml:space="preserve">누적 비용 회수
(시간)</t>
  </si>
  <si>
    <t xml:space="preserve">작은 어항</t>
  </si>
  <si>
    <t xml:space="preserve">거실 수조</t>
  </si>
  <si>
    <t xml:space="preserve">대형 수조</t>
  </si>
  <si>
    <t xml:space="preserve">해양 수족관</t>
  </si>
  <si>
    <t xml:space="preserve">부캉이 아쿠아리움</t>
  </si>
  <si>
    <t xml:space="preserve">특수 미끼</t>
  </si>
  <si>
    <t xml:space="preserve">가격 (원)</t>
  </si>
  <si>
    <t xml:space="preserve">횟수</t>
  </si>
  <si>
    <t xml:space="preserve">1회당 (원)</t>
  </si>
  <si>
    <t xml:space="preserve">효과</t>
  </si>
  <si>
    <t xml:space="preserve">대물 미끼</t>
  </si>
  <si>
    <t xml:space="preserve">좋은 물고기가 더 잘 와요 (멀리 던진 것보다 더)</t>
  </si>
  <si>
    <t xml:space="preserve">부캉이 미끼</t>
  </si>
  <si>
    <t xml:space="preserve">부캉이가 나올 확률 5배</t>
  </si>
  <si>
    <t xml:space="preserve">보스 유인 미끼</t>
  </si>
  <si>
    <t xml:space="preserve">지금 낚시터 보스 기척 +10</t>
  </si>
  <si>
    <t xml:space="preserve">낚시 대회</t>
  </si>
  <si>
    <t xml:space="preserve">시간 (초)</t>
  </si>
  <si>
    <t xml:space="preserve">참가비 = 1마리 기대가 ×</t>
  </si>
  <si>
    <t xml:space="preserve">상금 배수 (1위·2위·3위·4위)</t>
  </si>
  <si>
    <t xml:space="preserve">참가비 (원)</t>
  </si>
  <si>
    <t xml:space="preserve">1위 상금</t>
  </si>
  <si>
    <t xml:space="preserve">2위 상금</t>
  </si>
  <si>
    <t xml:space="preserve">3위 상금</t>
  </si>
  <si>
    <t xml:space="preserve">라이벌</t>
  </si>
  <si>
    <t xml:space="preserve">낚시왕 박(1.25) · 강태공 김(1) · 초보 이(0.7)</t>
  </si>
  <si>
    <t xml:space="preserve">환생</t>
  </si>
  <si>
    <t xml:space="preserve">레벨당 판매가 보너스</t>
  </si>
  <si>
    <t xml:space="preserve">레벨당 보스 기척 보너스</t>
  </si>
  <si>
    <t xml:space="preserve">환생 후 시작 금액 (원)</t>
  </si>
  <si>
    <t xml:space="preserve">환생 레벨</t>
  </si>
  <si>
    <t xml:space="preserve">보스 기척 1마리당</t>
  </si>
  <si>
    <t xml:space="preserve">오늘의 의뢰 (하루 3개, 연 낚시터 중 가장 먼 2곳 기준. 새 낚시터를 열면 못 끝낸 의뢰가 바뀜)</t>
  </si>
  <si>
    <t xml:space="preserve">보상 배수 최소·최대</t>
  </si>
  <si>
    <t xml:space="preserve">판매 의뢰 목표 = 1마리 기대가 ×</t>
  </si>
  <si>
    <t xml:space="preserve">의뢰에 쓰는 최근 낚시터 수</t>
  </si>
  <si>
    <t xml:space="preserve">세 개 모두 완료 보너스 (대물 미끼 횟수)</t>
  </si>
  <si>
    <t xml:space="preserve">가장 뒤 맵</t>
  </si>
  <si>
    <t xml:space="preserve">보상 최소 (원)</t>
  </si>
  <si>
    <t xml:space="preserve">보상 최대 (원)</t>
  </si>
  <si>
    <t xml:space="preserve">판매 의뢰 목표 (원)</t>
  </si>
  <si>
    <t xml:space="preserve">희귀 변종</t>
  </si>
  <si>
    <t xml:space="preserve">기본 확률</t>
  </si>
  <si>
    <t xml:space="preserve">미끼 행운 1당 추가 확률</t>
  </si>
  <si>
    <t xml:space="preserve">황금 비율 · 가격 배수</t>
  </si>
  <si>
    <t xml:space="preserve">알비노 비율 · 가격 배수</t>
  </si>
  <si>
    <t xml:space="preserve">떡밥일 때 변종 확률</t>
  </si>
  <si>
    <t xml:space="preserve">황금 미끼 +5일 때 (안개면 2배)</t>
  </si>
  <si>
    <t xml:space="preserve">자동 판매</t>
  </si>
  <si>
    <t xml:space="preserve">처음 설정 (이 등급까지 자동 판매)</t>
  </si>
  <si>
    <t xml:space="preserve">조건</t>
  </si>
  <si>
    <t xml:space="preserve">이미 잡아 본 종류 · 고른 등급 이하 · 그 종류의 최대 크기·최고가·최고 등급·메달을 넘지 않음 · 변종·보스 아님</t>
  </si>
  <si>
    <t xml:space="preserve">도감 완성 보상</t>
  </si>
  <si>
    <t xml:space="preserve">낚시터의 물고기를 모두 한 번 이상 잡으면 받는 작은 편의 효과입니다. 부산은 나오는 7종(전용 4종 + 참돔·방어·부시리)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</si>
  <si>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</si>
  <si>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</si>
  <si>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</si>
  <si>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</si>
  <si>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캐스팅 게이지 15% 느려짐</t>
  </si>
  <si>
    <t xml:space="preserve">castSlow</t>
  </si>
  <si>
    <t xml:space="preserve">캐스팅 게이지 속도에 (1−수치)를 곱함</t>
  </si>
  <si>
    <t xml:space="preserve">판매가 +5%</t>
  </si>
  <si>
    <t xml:space="preserve">sell</t>
  </si>
  <si>
    <t xml:space="preserve">판매가에 더함 (환생 보너스와 합산)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</si>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</sst>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  <numFmt numFmtId="174" formatCode="0.0\배"/>
    <numFmt numFmtId="175" formatCode="0\배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장비!D45</f>
        <v>9449700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4705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장비!I35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장비!I39</f>
        <v>96</v>
      </c>
      <c r="C24" s="4"/>
    </row>
    <row r="25" customFormat="false" ht="15" hidden="false" customHeight="false" outlineLevel="0" collapsed="false">
      <c r="A25" s="4" t="s">
        <v>28</v>
      </c>
      <c r="B25" s="6" t="n">
        <f aca="false">장비!I44</f>
        <v>69</v>
      </c>
      <c r="C25" s="4"/>
    </row>
    <row r="26" customFormat="false" ht="15" hidden="false" customHeight="false" outlineLevel="0" collapsed="false">
      <c r="A26" s="4" t="s">
        <v>29</v>
      </c>
      <c r="B26" s="5" t="n">
        <f aca="false">낚시터!I12</f>
        <v>1884.10824695933</v>
      </c>
      <c r="C26" s="4" t="s">
        <v>30</v>
      </c>
    </row>
    <row r="27" customFormat="false" ht="15" hidden="false" customHeight="false" outlineLevel="0" collapsed="false">
      <c r="A27" s="4" t="s">
        <v>31</v>
      </c>
      <c r="B27" s="5" t="n">
        <f aca="false">낚시터!J12</f>
        <v>2158.41530279907</v>
      </c>
      <c r="C27" s="4" t="s">
        <v>32</v>
      </c>
    </row>
    <row r="28" customFormat="false" ht="15" hidden="false" customHeight="false" outlineLevel="0" collapsed="false">
      <c r="A28" s="4" t="s">
        <v>33</v>
      </c>
      <c r="B28" s="5" t="n">
        <f aca="false">그물!D10</f>
        <v>535000</v>
      </c>
      <c r="C28" s="4" t="s">
        <v>34</v>
      </c>
    </row>
    <row r="29" customFormat="false" ht="15" hidden="false" customHeight="false" outlineLevel="0" collapsed="false">
      <c r="A29" s="4" t="s">
        <v>35</v>
      </c>
      <c r="B29" s="5" t="n">
        <f aca="false">그물!O6</f>
        <v>446.025217121152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그물!O10</f>
        <v>2568.32699576596</v>
      </c>
      <c r="C30" s="4"/>
    </row>
    <row r="31" customFormat="false" ht="15" hidden="false" customHeight="false" outlineLevel="0" collapsed="false">
      <c r="A31" s="4" t="s">
        <v>37</v>
      </c>
      <c r="B31" s="5" t="n">
        <f aca="false">그물!P10</f>
        <v>4970.87293477048</v>
      </c>
      <c r="C31" s="4"/>
    </row>
    <row r="32" customFormat="false" ht="15" hidden="false" customHeight="false" outlineLevel="0" collapsed="false">
      <c r="A32" s="4" t="s">
        <v>38</v>
      </c>
      <c r="B32" s="7" t="n">
        <f aca="false">가정!$B$11</f>
        <v>150</v>
      </c>
      <c r="C32" s="4" t="s">
        <v>39</v>
      </c>
    </row>
    <row r="33" customFormat="false" ht="15" hidden="false" customHeight="false" outlineLevel="0" collapsed="false">
      <c r="A33" s="4" t="s">
        <v>40</v>
      </c>
      <c r="B33" s="7" t="n">
        <f aca="false">가정!$B$4</f>
        <v>15</v>
      </c>
      <c r="C33" s="4" t="s">
        <v>41</v>
      </c>
    </row>
    <row r="34" customFormat="false" ht="15" hidden="false" customHeight="false" outlineLevel="0" collapsed="false">
      <c r="A34" s="4" t="s">
        <v>42</v>
      </c>
      <c r="B34" s="8" t="n">
        <f aca="false">물고기!R5</f>
        <v>0.24495</v>
      </c>
      <c r="C34" s="4" t="s">
        <v>43</v>
      </c>
    </row>
    <row r="35" customFormat="false" ht="15" hidden="false" customHeight="false" outlineLevel="0" collapsed="false">
      <c r="A35" s="4" t="s">
        <v>44</v>
      </c>
      <c r="B35" s="8" t="n">
        <f aca="false">물고기!R51</f>
        <v>0.138</v>
      </c>
      <c r="C35" s="4"/>
    </row>
    <row r="36" customFormat="false" ht="15" hidden="false" customHeight="false" outlineLevel="0" collapsed="false">
      <c r="A36" s="4" t="s">
        <v>45</v>
      </c>
      <c r="B36" s="8" t="n">
        <f aca="false">물고기!S51</f>
        <v>0.23575</v>
      </c>
      <c r="C3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48</v>
      </c>
    </row>
    <row r="4" customFormat="false" ht="15" hidden="false" customHeight="false" outlineLevel="0" collapsed="false">
      <c r="A4" s="4" t="s">
        <v>40</v>
      </c>
      <c r="B4" s="9" t="n">
        <v>15</v>
      </c>
      <c r="C4" s="4" t="s">
        <v>49</v>
      </c>
    </row>
    <row r="5" customFormat="false" ht="15" hidden="false" customHeight="false" outlineLevel="0" collapsed="false">
      <c r="A5" s="4" t="s">
        <v>50</v>
      </c>
      <c r="B5" s="9" t="n">
        <v>1.8</v>
      </c>
      <c r="C5" s="4" t="s">
        <v>51</v>
      </c>
    </row>
    <row r="6" customFormat="false" ht="15" hidden="false" customHeight="false" outlineLevel="0" collapsed="false">
      <c r="A6" s="4" t="s">
        <v>52</v>
      </c>
      <c r="B6" s="9" t="n">
        <v>0.6</v>
      </c>
      <c r="C6" s="4" t="s">
        <v>53</v>
      </c>
    </row>
    <row r="7" customFormat="false" ht="15" hidden="false" customHeight="false" outlineLevel="0" collapsed="false">
      <c r="A7" s="4" t="s">
        <v>54</v>
      </c>
      <c r="B7" s="9" t="n">
        <v>0.35</v>
      </c>
      <c r="C7" s="4" t="s">
        <v>55</v>
      </c>
    </row>
    <row r="8" customFormat="false" ht="15" hidden="false" customHeight="false" outlineLevel="0" collapsed="false">
      <c r="A8" s="4" t="s">
        <v>56</v>
      </c>
      <c r="B8" s="9" t="n">
        <v>1.5</v>
      </c>
      <c r="C8" s="4" t="s">
        <v>57</v>
      </c>
    </row>
    <row r="9" customFormat="false" ht="15" hidden="false" customHeight="false" outlineLevel="0" collapsed="false">
      <c r="A9" s="4" t="s">
        <v>58</v>
      </c>
      <c r="B9" s="10" t="n">
        <v>0.004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9" t="n">
        <v>2</v>
      </c>
      <c r="C10" s="4" t="s">
        <v>61</v>
      </c>
    </row>
    <row r="11" customFormat="false" ht="15" hidden="false" customHeight="false" outlineLevel="0" collapsed="false">
      <c r="A11" s="4" t="s">
        <v>38</v>
      </c>
      <c r="B11" s="9" t="n">
        <v>150</v>
      </c>
      <c r="C11" s="4" t="s">
        <v>62</v>
      </c>
    </row>
    <row r="12" customFormat="false" ht="15" hidden="false" customHeight="false" outlineLevel="0" collapsed="false">
      <c r="A12" s="4" t="s">
        <v>63</v>
      </c>
      <c r="B12" s="9" t="n">
        <v>150</v>
      </c>
      <c r="C12" s="4" t="s">
        <v>64</v>
      </c>
    </row>
    <row r="13" customFormat="false" ht="15" hidden="false" customHeight="false" outlineLevel="0" collapsed="false">
      <c r="A13" s="4" t="s">
        <v>65</v>
      </c>
      <c r="B13" s="9" t="n">
        <v>30</v>
      </c>
      <c r="C13" s="4" t="s">
        <v>66</v>
      </c>
    </row>
    <row r="14" customFormat="false" ht="15" hidden="false" customHeight="false" outlineLevel="0" collapsed="false">
      <c r="A14" s="4" t="s">
        <v>67</v>
      </c>
      <c r="B14" s="9" t="n">
        <v>0.5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9" t="n">
        <v>1.15</v>
      </c>
      <c r="C15" s="4" t="s">
        <v>70</v>
      </c>
    </row>
    <row r="16" customFormat="false" ht="15" hidden="false" customHeight="false" outlineLevel="0" collapsed="false">
      <c r="A16" s="4" t="s">
        <v>71</v>
      </c>
      <c r="B16" s="9" t="n">
        <v>0.88</v>
      </c>
      <c r="C16" s="4" t="s">
        <v>72</v>
      </c>
    </row>
    <row r="17" customFormat="false" ht="15" hidden="false" customHeight="false" outlineLevel="0" collapsed="false">
      <c r="A17" s="4" t="s">
        <v>73</v>
      </c>
      <c r="B17" s="9" t="n">
        <v>0.88</v>
      </c>
      <c r="C17" s="4" t="s">
        <v>74</v>
      </c>
    </row>
    <row r="18" customFormat="false" ht="15" hidden="false" customHeight="false" outlineLevel="0" collapsed="false">
      <c r="A18" s="4" t="s">
        <v>75</v>
      </c>
      <c r="B18" s="9" t="n">
        <v>1.12</v>
      </c>
      <c r="C18" s="4" t="s">
        <v>76</v>
      </c>
    </row>
    <row r="19" customFormat="false" ht="15" hidden="false" customHeight="false" outlineLevel="0" collapsed="false">
      <c r="A19" s="4" t="s">
        <v>77</v>
      </c>
      <c r="B19" s="9" t="n">
        <v>0.24</v>
      </c>
      <c r="C19" s="4" t="s">
        <v>78</v>
      </c>
    </row>
    <row r="20" customFormat="false" ht="15" hidden="false" customHeight="false" outlineLevel="0" collapsed="false">
      <c r="A20" s="4" t="s">
        <v>79</v>
      </c>
      <c r="B20" s="9" t="n">
        <v>0.36</v>
      </c>
      <c r="C20" s="4" t="s">
        <v>80</v>
      </c>
    </row>
    <row r="21" customFormat="false" ht="15" hidden="false" customHeight="false" outlineLevel="0" collapsed="false">
      <c r="A21" s="4" t="s">
        <v>81</v>
      </c>
      <c r="B21" s="9" t="n">
        <v>0.75</v>
      </c>
      <c r="C21" s="4" t="s">
        <v>82</v>
      </c>
    </row>
    <row r="22" customFormat="false" ht="15" hidden="false" customHeight="false" outlineLevel="0" collapsed="false">
      <c r="A22" s="4" t="s">
        <v>83</v>
      </c>
      <c r="B22" s="9" t="n">
        <v>0.9</v>
      </c>
      <c r="C22" s="4" t="s">
        <v>84</v>
      </c>
    </row>
    <row r="23" customFormat="false" ht="15" hidden="false" customHeight="false" outlineLevel="0" collapsed="false">
      <c r="A23" s="4" t="s">
        <v>85</v>
      </c>
      <c r="B23" s="9" t="n">
        <v>2.2</v>
      </c>
      <c r="C23" s="4" t="s">
        <v>86</v>
      </c>
    </row>
    <row r="24" customFormat="false" ht="15" hidden="false" customHeight="false" outlineLevel="0" collapsed="false">
      <c r="A24" s="4" t="s">
        <v>87</v>
      </c>
      <c r="B24" s="9" t="n">
        <v>0.7</v>
      </c>
      <c r="C24" s="4" t="s">
        <v>88</v>
      </c>
    </row>
    <row r="25" customFormat="false" ht="15" hidden="false" customHeight="false" outlineLevel="0" collapsed="false">
      <c r="A25" s="4" t="s">
        <v>89</v>
      </c>
      <c r="B25" s="9" t="n">
        <v>0.05</v>
      </c>
      <c r="C25" s="4" t="s">
        <v>84</v>
      </c>
    </row>
    <row r="26" customFormat="false" ht="15" hidden="false" customHeight="false" outlineLevel="0" collapsed="false">
      <c r="A26" s="4" t="s">
        <v>90</v>
      </c>
      <c r="B26" s="9" t="n">
        <v>0.12</v>
      </c>
      <c r="C26" s="4" t="s">
        <v>84</v>
      </c>
    </row>
    <row r="27" customFormat="false" ht="15" hidden="false" customHeight="false" outlineLevel="0" collapsed="false">
      <c r="A27" s="4" t="s">
        <v>91</v>
      </c>
      <c r="B27" s="9" t="n">
        <v>0.35</v>
      </c>
      <c r="C27" s="4" t="s">
        <v>92</v>
      </c>
    </row>
    <row r="28" customFormat="false" ht="15" hidden="false" customHeight="false" outlineLevel="0" collapsed="false">
      <c r="A28" s="4" t="s">
        <v>93</v>
      </c>
      <c r="B28" s="9" t="n">
        <v>12</v>
      </c>
      <c r="C28" s="4" t="s">
        <v>94</v>
      </c>
    </row>
    <row r="29" customFormat="false" ht="15" hidden="false" customHeight="false" outlineLevel="0" collapsed="false">
      <c r="A29" s="4" t="s">
        <v>95</v>
      </c>
      <c r="B29" s="9" t="n">
        <v>40</v>
      </c>
      <c r="C29" s="4" t="s">
        <v>96</v>
      </c>
    </row>
    <row r="30" customFormat="false" ht="15" hidden="false" customHeight="false" outlineLevel="0" collapsed="false">
      <c r="A30" s="4" t="s">
        <v>97</v>
      </c>
      <c r="B30" s="9" t="n">
        <v>0.85</v>
      </c>
      <c r="C30" s="4" t="s">
        <v>98</v>
      </c>
    </row>
    <row r="31" customFormat="false" ht="15" hidden="false" customHeight="false" outlineLevel="0" collapsed="false">
      <c r="A31" s="4" t="s">
        <v>99</v>
      </c>
      <c r="B31" s="9" t="n">
        <v>24</v>
      </c>
      <c r="C31" s="4" t="s">
        <v>100</v>
      </c>
    </row>
    <row r="32" customFormat="false" ht="15" hidden="false" customHeight="false" outlineLevel="0" collapsed="false">
      <c r="A32" s="4" t="s">
        <v>101</v>
      </c>
      <c r="B32" s="9" t="n">
        <v>1.15</v>
      </c>
      <c r="C32" s="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31.5" hidden="false" customHeight="true" outlineLevel="0" collapsed="false">
      <c r="A3" s="3" t="s">
        <v>105</v>
      </c>
      <c r="B3" s="3" t="s">
        <v>106</v>
      </c>
      <c r="C3" s="3" t="s">
        <v>107</v>
      </c>
      <c r="D3" s="3" t="s">
        <v>108</v>
      </c>
    </row>
    <row r="4" customFormat="false" ht="15" hidden="false" customHeight="false" outlineLevel="0" collapsed="false">
      <c r="A4" s="11" t="s">
        <v>109</v>
      </c>
      <c r="B4" s="12" t="n">
        <v>0</v>
      </c>
      <c r="C4" s="13" t="s">
        <v>110</v>
      </c>
      <c r="D4" s="14" t="n">
        <f aca="false">COUNTIF(물고기!$O$5:$O$200,A4)</f>
        <v>7</v>
      </c>
    </row>
    <row r="5" customFormat="false" ht="15" hidden="false" customHeight="false" outlineLevel="0" collapsed="false">
      <c r="A5" s="11" t="s">
        <v>111</v>
      </c>
      <c r="B5" s="12" t="n">
        <v>60</v>
      </c>
      <c r="C5" s="15" t="s">
        <v>112</v>
      </c>
      <c r="D5" s="14" t="n">
        <f aca="false">COUNTIF(물고기!$O$5:$O$200,A5)</f>
        <v>5</v>
      </c>
    </row>
    <row r="6" customFormat="false" ht="15" hidden="false" customHeight="false" outlineLevel="0" collapsed="false">
      <c r="A6" s="11" t="s">
        <v>113</v>
      </c>
      <c r="B6" s="12" t="n">
        <v>200</v>
      </c>
      <c r="C6" s="16" t="s">
        <v>114</v>
      </c>
      <c r="D6" s="14" t="n">
        <f aca="false">COUNTIF(물고기!$O$5:$O$200,A6)</f>
        <v>7</v>
      </c>
    </row>
    <row r="7" customFormat="false" ht="15" hidden="false" customHeight="false" outlineLevel="0" collapsed="false">
      <c r="A7" s="11" t="s">
        <v>115</v>
      </c>
      <c r="B7" s="12" t="n">
        <v>700</v>
      </c>
      <c r="C7" s="17" t="s">
        <v>116</v>
      </c>
      <c r="D7" s="14" t="n">
        <f aca="false">COUNTIF(물고기!$O$5:$O$200,A7)</f>
        <v>8</v>
      </c>
    </row>
    <row r="8" customFormat="false" ht="15" hidden="false" customHeight="false" outlineLevel="0" collapsed="false">
      <c r="A8" s="11" t="s">
        <v>117</v>
      </c>
      <c r="B8" s="12" t="n">
        <v>2500</v>
      </c>
      <c r="C8" s="18" t="s">
        <v>118</v>
      </c>
      <c r="D8" s="14" t="n">
        <f aca="false">COUNTIF(물고기!$O$5:$O$200,A8)</f>
        <v>20</v>
      </c>
    </row>
    <row r="9" customFormat="false" ht="15" hidden="false" customHeight="false" outlineLevel="0" collapsed="false">
      <c r="A9" s="4" t="s">
        <v>119</v>
      </c>
      <c r="B9" s="4" t="s">
        <v>120</v>
      </c>
      <c r="C9" s="19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31.5" hidden="false" customHeight="tru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130</v>
      </c>
      <c r="H4" s="3" t="s">
        <v>131</v>
      </c>
      <c r="I4" s="3" t="s">
        <v>132</v>
      </c>
    </row>
    <row r="5" customFormat="false" ht="15" hidden="false" customHeight="false" outlineLevel="0" collapsed="false">
      <c r="A5" s="4" t="s">
        <v>133</v>
      </c>
      <c r="B5" s="14" t="n">
        <v>1</v>
      </c>
      <c r="C5" s="11" t="s">
        <v>134</v>
      </c>
      <c r="D5" s="12" t="n">
        <v>0</v>
      </c>
      <c r="E5" s="20" t="n">
        <f aca="false">SUM($D$5:D5)</f>
        <v>0</v>
      </c>
      <c r="F5" s="21" t="n">
        <v>0.24</v>
      </c>
      <c r="G5" s="4" t="s">
        <v>135</v>
      </c>
    </row>
    <row r="6" customFormat="false" ht="15" hidden="false" customHeight="false" outlineLevel="0" collapsed="false">
      <c r="A6" s="4" t="s">
        <v>133</v>
      </c>
      <c r="B6" s="14" t="n">
        <v>2</v>
      </c>
      <c r="C6" s="11" t="s">
        <v>136</v>
      </c>
      <c r="D6" s="12" t="n">
        <v>200</v>
      </c>
      <c r="E6" s="20" t="n">
        <f aca="false">SUM($D$5:D6)</f>
        <v>200</v>
      </c>
      <c r="F6" s="21" t="n">
        <v>0.28</v>
      </c>
      <c r="G6" s="4" t="s">
        <v>137</v>
      </c>
    </row>
    <row r="7" customFormat="false" ht="15" hidden="false" customHeight="false" outlineLevel="0" collapsed="false">
      <c r="A7" s="4" t="s">
        <v>133</v>
      </c>
      <c r="B7" s="14" t="n">
        <v>3</v>
      </c>
      <c r="C7" s="11" t="s">
        <v>138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139</v>
      </c>
    </row>
    <row r="8" customFormat="false" ht="15" hidden="false" customHeight="false" outlineLevel="0" collapsed="false">
      <c r="A8" s="4" t="s">
        <v>133</v>
      </c>
      <c r="B8" s="14" t="n">
        <v>4</v>
      </c>
      <c r="C8" s="11" t="s">
        <v>140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141</v>
      </c>
    </row>
    <row r="9" customFormat="false" ht="15" hidden="false" customHeight="false" outlineLevel="0" collapsed="false">
      <c r="A9" s="4" t="s">
        <v>133</v>
      </c>
      <c r="B9" s="14" t="n">
        <v>5</v>
      </c>
      <c r="C9" s="11" t="s">
        <v>142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143</v>
      </c>
    </row>
    <row r="10" customFormat="false" ht="15" hidden="false" customHeight="false" outlineLevel="0" collapsed="false">
      <c r="A10" s="4" t="s">
        <v>133</v>
      </c>
      <c r="B10" s="14" t="n">
        <v>6</v>
      </c>
      <c r="C10" s="11" t="s">
        <v>144</v>
      </c>
      <c r="D10" s="12" t="n">
        <v>60000</v>
      </c>
      <c r="E10" s="20" t="n">
        <f aca="false">SUM($D$5:D10)</f>
        <v>92400</v>
      </c>
      <c r="F10" s="21" t="n">
        <v>0.43</v>
      </c>
      <c r="G10" s="4" t="s">
        <v>145</v>
      </c>
    </row>
    <row r="11" customFormat="false" ht="15" hidden="false" customHeight="false" outlineLevel="0" collapsed="false">
      <c r="A11" s="4" t="s">
        <v>133</v>
      </c>
      <c r="B11" s="14" t="n">
        <v>7</v>
      </c>
      <c r="C11" s="11" t="s">
        <v>146</v>
      </c>
      <c r="D11" s="12" t="n">
        <v>130000</v>
      </c>
      <c r="E11" s="20" t="n">
        <f aca="false">SUM($D$5:D11)</f>
        <v>222400</v>
      </c>
      <c r="F11" s="21" t="n">
        <v>0.45</v>
      </c>
      <c r="G11" s="4" t="s">
        <v>147</v>
      </c>
    </row>
    <row r="12" customFormat="false" ht="15" hidden="false" customHeight="false" outlineLevel="0" collapsed="false">
      <c r="A12" s="4" t="s">
        <v>133</v>
      </c>
      <c r="B12" s="14" t="n">
        <v>8</v>
      </c>
      <c r="C12" s="11" t="s">
        <v>148</v>
      </c>
      <c r="D12" s="12" t="n">
        <v>280000</v>
      </c>
      <c r="E12" s="20" t="n">
        <f aca="false">SUM($D$5:D12)</f>
        <v>502400</v>
      </c>
      <c r="F12" s="21" t="n">
        <v>0.47</v>
      </c>
      <c r="G12" s="4" t="s">
        <v>149</v>
      </c>
    </row>
    <row r="13" customFormat="false" ht="15" hidden="false" customHeight="false" outlineLevel="0" collapsed="false">
      <c r="A13" s="4" t="s">
        <v>133</v>
      </c>
      <c r="B13" s="14" t="n">
        <v>9</v>
      </c>
      <c r="C13" s="11" t="s">
        <v>150</v>
      </c>
      <c r="D13" s="12" t="n">
        <v>600000</v>
      </c>
      <c r="E13" s="20" t="n">
        <f aca="false">SUM($D$5:D13)</f>
        <v>1102400</v>
      </c>
      <c r="F13" s="21" t="n">
        <v>0.49</v>
      </c>
      <c r="G13" s="4" t="s">
        <v>151</v>
      </c>
    </row>
    <row r="14" customFormat="false" ht="15" hidden="false" customHeight="false" outlineLevel="0" collapsed="false">
      <c r="A14" s="4" t="s">
        <v>133</v>
      </c>
      <c r="B14" s="14" t="n">
        <v>10</v>
      </c>
      <c r="C14" s="11" t="s">
        <v>152</v>
      </c>
      <c r="D14" s="12" t="n">
        <v>1300000</v>
      </c>
      <c r="E14" s="20" t="n">
        <f aca="false">SUM($D$5:D14)</f>
        <v>2402400</v>
      </c>
      <c r="F14" s="21" t="n">
        <v>0.51</v>
      </c>
      <c r="G14" s="4" t="s">
        <v>153</v>
      </c>
    </row>
    <row r="15" customFormat="false" ht="15" hidden="false" customHeight="false" outlineLevel="0" collapsed="false">
      <c r="A15" s="4" t="s">
        <v>154</v>
      </c>
      <c r="B15" s="14" t="n">
        <v>1</v>
      </c>
      <c r="C15" s="11" t="s">
        <v>155</v>
      </c>
      <c r="D15" s="12" t="n">
        <v>0</v>
      </c>
      <c r="E15" s="20" t="n">
        <f aca="false">SUM($D$15:D15)</f>
        <v>0</v>
      </c>
      <c r="F15" s="22" t="n">
        <v>0.16</v>
      </c>
      <c r="G15" s="4" t="s">
        <v>156</v>
      </c>
    </row>
    <row r="16" customFormat="false" ht="15" hidden="false" customHeight="false" outlineLevel="0" collapsed="false">
      <c r="A16" s="4" t="s">
        <v>154</v>
      </c>
      <c r="B16" s="14" t="n">
        <v>2</v>
      </c>
      <c r="C16" s="11" t="s">
        <v>157</v>
      </c>
      <c r="D16" s="12" t="n">
        <v>250</v>
      </c>
      <c r="E16" s="20" t="n">
        <f aca="false">SUM($D$15:D16)</f>
        <v>250</v>
      </c>
      <c r="F16" s="22" t="n">
        <v>0.21</v>
      </c>
      <c r="G16" s="4" t="s">
        <v>156</v>
      </c>
    </row>
    <row r="17" customFormat="false" ht="15" hidden="false" customHeight="false" outlineLevel="0" collapsed="false">
      <c r="A17" s="4" t="s">
        <v>154</v>
      </c>
      <c r="B17" s="14" t="n">
        <v>3</v>
      </c>
      <c r="C17" s="11" t="s">
        <v>158</v>
      </c>
      <c r="D17" s="12" t="n">
        <v>1500</v>
      </c>
      <c r="E17" s="20" t="n">
        <f aca="false">SUM($D$15:D17)</f>
        <v>1750</v>
      </c>
      <c r="F17" s="22" t="n">
        <v>0.27</v>
      </c>
      <c r="G17" s="4" t="s">
        <v>156</v>
      </c>
    </row>
    <row r="18" customFormat="false" ht="15" hidden="false" customHeight="false" outlineLevel="0" collapsed="false">
      <c r="A18" s="4" t="s">
        <v>154</v>
      </c>
      <c r="B18" s="14" t="n">
        <v>4</v>
      </c>
      <c r="C18" s="11" t="s">
        <v>159</v>
      </c>
      <c r="D18" s="12" t="n">
        <v>7000</v>
      </c>
      <c r="E18" s="20" t="n">
        <f aca="false">SUM($D$15:D18)</f>
        <v>8750</v>
      </c>
      <c r="F18" s="22" t="n">
        <v>0.34</v>
      </c>
      <c r="G18" s="4" t="s">
        <v>156</v>
      </c>
    </row>
    <row r="19" customFormat="false" ht="15" hidden="false" customHeight="false" outlineLevel="0" collapsed="false">
      <c r="A19" s="4" t="s">
        <v>154</v>
      </c>
      <c r="B19" s="14" t="n">
        <v>5</v>
      </c>
      <c r="C19" s="11" t="s">
        <v>160</v>
      </c>
      <c r="D19" s="12" t="n">
        <v>30000</v>
      </c>
      <c r="E19" s="20" t="n">
        <f aca="false">SUM($D$15:D19)</f>
        <v>38750</v>
      </c>
      <c r="F19" s="22" t="n">
        <v>0.42</v>
      </c>
      <c r="G19" s="4" t="s">
        <v>156</v>
      </c>
    </row>
    <row r="20" customFormat="false" ht="15" hidden="false" customHeight="false" outlineLevel="0" collapsed="false">
      <c r="A20" s="4" t="s">
        <v>154</v>
      </c>
      <c r="B20" s="14" t="n">
        <v>6</v>
      </c>
      <c r="C20" s="11" t="s">
        <v>161</v>
      </c>
      <c r="D20" s="12" t="n">
        <v>70000</v>
      </c>
      <c r="E20" s="20" t="n">
        <f aca="false">SUM($D$15:D20)</f>
        <v>108750</v>
      </c>
      <c r="F20" s="22" t="n">
        <v>0.45</v>
      </c>
      <c r="G20" s="4" t="s">
        <v>156</v>
      </c>
    </row>
    <row r="21" customFormat="false" ht="15" hidden="false" customHeight="false" outlineLevel="0" collapsed="false">
      <c r="A21" s="4" t="s">
        <v>154</v>
      </c>
      <c r="B21" s="14" t="n">
        <v>7</v>
      </c>
      <c r="C21" s="11" t="s">
        <v>162</v>
      </c>
      <c r="D21" s="12" t="n">
        <v>150000</v>
      </c>
      <c r="E21" s="20" t="n">
        <f aca="false">SUM($D$15:D21)</f>
        <v>258750</v>
      </c>
      <c r="F21" s="22" t="n">
        <v>0.48</v>
      </c>
      <c r="G21" s="4" t="s">
        <v>156</v>
      </c>
    </row>
    <row r="22" customFormat="false" ht="15" hidden="false" customHeight="false" outlineLevel="0" collapsed="false">
      <c r="A22" s="4" t="s">
        <v>154</v>
      </c>
      <c r="B22" s="14" t="n">
        <v>8</v>
      </c>
      <c r="C22" s="11" t="s">
        <v>163</v>
      </c>
      <c r="D22" s="12" t="n">
        <v>320000</v>
      </c>
      <c r="E22" s="20" t="n">
        <f aca="false">SUM($D$15:D22)</f>
        <v>578750</v>
      </c>
      <c r="F22" s="22" t="n">
        <v>0.51</v>
      </c>
      <c r="G22" s="4" t="s">
        <v>156</v>
      </c>
    </row>
    <row r="23" customFormat="false" ht="15" hidden="false" customHeight="false" outlineLevel="0" collapsed="false">
      <c r="A23" s="4" t="s">
        <v>154</v>
      </c>
      <c r="B23" s="14" t="n">
        <v>9</v>
      </c>
      <c r="C23" s="11" t="s">
        <v>164</v>
      </c>
      <c r="D23" s="12" t="n">
        <v>700000</v>
      </c>
      <c r="E23" s="20" t="n">
        <f aca="false">SUM($D$15:D23)</f>
        <v>1278750</v>
      </c>
      <c r="F23" s="22" t="n">
        <v>0.54</v>
      </c>
      <c r="G23" s="4" t="s">
        <v>156</v>
      </c>
    </row>
    <row r="24" customFormat="false" ht="15" hidden="false" customHeight="false" outlineLevel="0" collapsed="false">
      <c r="A24" s="4" t="s">
        <v>154</v>
      </c>
      <c r="B24" s="14" t="n">
        <v>10</v>
      </c>
      <c r="C24" s="11" t="s">
        <v>165</v>
      </c>
      <c r="D24" s="12" t="n">
        <v>1500000</v>
      </c>
      <c r="E24" s="20" t="n">
        <f aca="false">SUM($D$15:D24)</f>
        <v>2778750</v>
      </c>
      <c r="F24" s="22" t="n">
        <v>0.57</v>
      </c>
      <c r="G24" s="4" t="s">
        <v>156</v>
      </c>
    </row>
    <row r="25" customFormat="false" ht="15" hidden="false" customHeight="false" outlineLevel="0" collapsed="false">
      <c r="A25" s="4" t="s">
        <v>166</v>
      </c>
      <c r="B25" s="14" t="n">
        <v>1</v>
      </c>
      <c r="C25" s="11" t="s">
        <v>167</v>
      </c>
      <c r="D25" s="12" t="n">
        <v>0</v>
      </c>
      <c r="E25" s="20" t="n">
        <f aca="false">SUM($D$25:D25)</f>
        <v>0</v>
      </c>
      <c r="F25" s="22" t="n">
        <v>1.2</v>
      </c>
      <c r="G25" s="4" t="s">
        <v>168</v>
      </c>
    </row>
    <row r="26" customFormat="false" ht="15" hidden="false" customHeight="false" outlineLevel="0" collapsed="false">
      <c r="A26" s="4" t="s">
        <v>166</v>
      </c>
      <c r="B26" s="14" t="n">
        <v>2</v>
      </c>
      <c r="C26" s="11" t="s">
        <v>169</v>
      </c>
      <c r="D26" s="12" t="n">
        <v>150</v>
      </c>
      <c r="E26" s="20" t="n">
        <f aca="false">SUM($D$25:D26)</f>
        <v>150</v>
      </c>
      <c r="F26" s="22" t="n">
        <v>1.7</v>
      </c>
      <c r="G26" s="4" t="s">
        <v>168</v>
      </c>
    </row>
    <row r="27" customFormat="false" ht="15" hidden="false" customHeight="false" outlineLevel="0" collapsed="false">
      <c r="A27" s="4" t="s">
        <v>166</v>
      </c>
      <c r="B27" s="14" t="n">
        <v>3</v>
      </c>
      <c r="C27" s="11" t="s">
        <v>170</v>
      </c>
      <c r="D27" s="12" t="n">
        <v>1000</v>
      </c>
      <c r="E27" s="20" t="n">
        <f aca="false">SUM($D$25:D27)</f>
        <v>1150</v>
      </c>
      <c r="F27" s="22" t="n">
        <v>2.4</v>
      </c>
      <c r="G27" s="4" t="s">
        <v>168</v>
      </c>
    </row>
    <row r="28" customFormat="false" ht="15" hidden="false" customHeight="false" outlineLevel="0" collapsed="false">
      <c r="A28" s="4" t="s">
        <v>166</v>
      </c>
      <c r="B28" s="14" t="n">
        <v>4</v>
      </c>
      <c r="C28" s="11" t="s">
        <v>171</v>
      </c>
      <c r="D28" s="12" t="n">
        <v>5000</v>
      </c>
      <c r="E28" s="20" t="n">
        <f aca="false">SUM($D$25:D28)</f>
        <v>6150</v>
      </c>
      <c r="F28" s="22" t="n">
        <v>3.3</v>
      </c>
      <c r="G28" s="4" t="s">
        <v>168</v>
      </c>
    </row>
    <row r="29" customFormat="false" ht="15" hidden="false" customHeight="false" outlineLevel="0" collapsed="false">
      <c r="A29" s="4" t="s">
        <v>166</v>
      </c>
      <c r="B29" s="14" t="n">
        <v>5</v>
      </c>
      <c r="C29" s="11" t="s">
        <v>172</v>
      </c>
      <c r="D29" s="12" t="n">
        <v>22000</v>
      </c>
      <c r="E29" s="20" t="n">
        <f aca="false">SUM($D$25:D29)</f>
        <v>28150</v>
      </c>
      <c r="F29" s="22" t="n">
        <v>4.5</v>
      </c>
      <c r="G29" s="4" t="s">
        <v>168</v>
      </c>
    </row>
    <row r="30" customFormat="false" ht="15" hidden="false" customHeight="false" outlineLevel="0" collapsed="false">
      <c r="A30" s="4" t="s">
        <v>166</v>
      </c>
      <c r="B30" s="14" t="n">
        <v>6</v>
      </c>
      <c r="C30" s="11" t="s">
        <v>173</v>
      </c>
      <c r="D30" s="12" t="n">
        <v>50000</v>
      </c>
      <c r="E30" s="20" t="n">
        <f aca="false">SUM($D$25:D30)</f>
        <v>78150</v>
      </c>
      <c r="F30" s="22" t="n">
        <v>5</v>
      </c>
      <c r="G30" s="4" t="s">
        <v>168</v>
      </c>
    </row>
    <row r="31" customFormat="false" ht="15" hidden="false" customHeight="false" outlineLevel="0" collapsed="false">
      <c r="A31" s="4" t="s">
        <v>166</v>
      </c>
      <c r="B31" s="14" t="n">
        <v>7</v>
      </c>
      <c r="C31" s="11" t="s">
        <v>174</v>
      </c>
      <c r="D31" s="12" t="n">
        <v>110000</v>
      </c>
      <c r="E31" s="20" t="n">
        <f aca="false">SUM($D$25:D31)</f>
        <v>188150</v>
      </c>
      <c r="F31" s="22" t="n">
        <v>5.5</v>
      </c>
      <c r="G31" s="4" t="s">
        <v>168</v>
      </c>
    </row>
    <row r="32" customFormat="false" ht="15" hidden="false" customHeight="false" outlineLevel="0" collapsed="false">
      <c r="A32" s="4" t="s">
        <v>166</v>
      </c>
      <c r="B32" s="14" t="n">
        <v>8</v>
      </c>
      <c r="C32" s="11" t="s">
        <v>175</v>
      </c>
      <c r="D32" s="12" t="n">
        <v>240000</v>
      </c>
      <c r="E32" s="20" t="n">
        <f aca="false">SUM($D$25:D32)</f>
        <v>428150</v>
      </c>
      <c r="F32" s="22" t="n">
        <v>6</v>
      </c>
      <c r="G32" s="4" t="s">
        <v>168</v>
      </c>
    </row>
    <row r="33" customFormat="false" ht="15" hidden="false" customHeight="false" outlineLevel="0" collapsed="false">
      <c r="A33" s="4" t="s">
        <v>166</v>
      </c>
      <c r="B33" s="14" t="n">
        <v>9</v>
      </c>
      <c r="C33" s="11" t="s">
        <v>176</v>
      </c>
      <c r="D33" s="12" t="n">
        <v>520000</v>
      </c>
      <c r="E33" s="20" t="n">
        <f aca="false">SUM($D$25:D33)</f>
        <v>948150</v>
      </c>
      <c r="F33" s="22" t="n">
        <v>6.5</v>
      </c>
      <c r="G33" s="4" t="s">
        <v>168</v>
      </c>
    </row>
    <row r="34" customFormat="false" ht="15" hidden="false" customHeight="false" outlineLevel="0" collapsed="false">
      <c r="A34" s="4" t="s">
        <v>166</v>
      </c>
      <c r="B34" s="14" t="n">
        <v>10</v>
      </c>
      <c r="C34" s="11" t="s">
        <v>177</v>
      </c>
      <c r="D34" s="12" t="n">
        <v>1100000</v>
      </c>
      <c r="E34" s="20" t="n">
        <f aca="false">SUM($D$25:D34)</f>
        <v>2048150</v>
      </c>
      <c r="F34" s="22" t="n">
        <v>7</v>
      </c>
      <c r="G34" s="4" t="s">
        <v>168</v>
      </c>
    </row>
    <row r="35" customFormat="false" ht="15" hidden="false" customHeight="false" outlineLevel="0" collapsed="false">
      <c r="A35" s="4" t="s">
        <v>178</v>
      </c>
      <c r="B35" s="14" t="n">
        <v>1</v>
      </c>
      <c r="C35" s="11" t="s">
        <v>179</v>
      </c>
      <c r="D35" s="12" t="n">
        <v>0</v>
      </c>
      <c r="E35" s="20" t="n">
        <f aca="false">SUM($D$35:D35)</f>
        <v>0</v>
      </c>
      <c r="F35" s="21" t="n">
        <v>0</v>
      </c>
      <c r="G35" s="4" t="s">
        <v>180</v>
      </c>
      <c r="H35" s="23" t="n">
        <f aca="false">가정!$B$9*(1+F35*가정!$B$10)</f>
        <v>0.004</v>
      </c>
      <c r="I35" s="24" t="n">
        <f aca="false">ROUND(1/H35,0)</f>
        <v>250</v>
      </c>
    </row>
    <row r="36" customFormat="false" ht="15" hidden="false" customHeight="false" outlineLevel="0" collapsed="false">
      <c r="A36" s="4" t="s">
        <v>178</v>
      </c>
      <c r="B36" s="14" t="n">
        <v>2</v>
      </c>
      <c r="C36" s="11" t="s">
        <v>181</v>
      </c>
      <c r="D36" s="12" t="n">
        <v>100</v>
      </c>
      <c r="E36" s="20" t="n">
        <f aca="false">SUM($D$35:D36)</f>
        <v>100</v>
      </c>
      <c r="F36" s="21" t="n">
        <v>0.15</v>
      </c>
      <c r="G36" s="4" t="s">
        <v>180</v>
      </c>
      <c r="H36" s="23" t="n">
        <f aca="false">가정!$B$9*(1+F36*가정!$B$10)</f>
        <v>0.0052</v>
      </c>
      <c r="I36" s="24" t="n">
        <f aca="false">ROUND(1/H36,0)</f>
        <v>192</v>
      </c>
    </row>
    <row r="37" customFormat="false" ht="15" hidden="false" customHeight="false" outlineLevel="0" collapsed="false">
      <c r="A37" s="4" t="s">
        <v>178</v>
      </c>
      <c r="B37" s="14" t="n">
        <v>3</v>
      </c>
      <c r="C37" s="11" t="s">
        <v>182</v>
      </c>
      <c r="D37" s="12" t="n">
        <v>800</v>
      </c>
      <c r="E37" s="20" t="n">
        <f aca="false">SUM($D$35:D37)</f>
        <v>900</v>
      </c>
      <c r="F37" s="21" t="n">
        <v>0.3</v>
      </c>
      <c r="G37" s="4" t="s">
        <v>180</v>
      </c>
      <c r="H37" s="23" t="n">
        <f aca="false">가정!$B$9*(1+F37*가정!$B$10)</f>
        <v>0.0064</v>
      </c>
      <c r="I37" s="24" t="n">
        <f aca="false">ROUND(1/H37,0)</f>
        <v>156</v>
      </c>
    </row>
    <row r="38" customFormat="false" ht="15" hidden="false" customHeight="false" outlineLevel="0" collapsed="false">
      <c r="A38" s="4" t="s">
        <v>178</v>
      </c>
      <c r="B38" s="14" t="n">
        <v>4</v>
      </c>
      <c r="C38" s="11" t="s">
        <v>183</v>
      </c>
      <c r="D38" s="12" t="n">
        <v>4500</v>
      </c>
      <c r="E38" s="20" t="n">
        <f aca="false">SUM($D$35:D38)</f>
        <v>5400</v>
      </c>
      <c r="F38" s="21" t="n">
        <v>0.5</v>
      </c>
      <c r="G38" s="4" t="s">
        <v>180</v>
      </c>
      <c r="H38" s="23" t="n">
        <f aca="false">가정!$B$9*(1+F38*가정!$B$10)</f>
        <v>0.008</v>
      </c>
      <c r="I38" s="24" t="n">
        <f aca="false">ROUND(1/H38,0)</f>
        <v>125</v>
      </c>
    </row>
    <row r="39" customFormat="false" ht="15" hidden="false" customHeight="false" outlineLevel="0" collapsed="false">
      <c r="A39" s="4" t="s">
        <v>178</v>
      </c>
      <c r="B39" s="14" t="n">
        <v>5</v>
      </c>
      <c r="C39" s="11" t="s">
        <v>184</v>
      </c>
      <c r="D39" s="12" t="n">
        <v>20000</v>
      </c>
      <c r="E39" s="20" t="n">
        <f aca="false">SUM($D$35:D39)</f>
        <v>25400</v>
      </c>
      <c r="F39" s="21" t="n">
        <v>0.8</v>
      </c>
      <c r="G39" s="4" t="s">
        <v>180</v>
      </c>
      <c r="H39" s="23" t="n">
        <f aca="false">가정!$B$9*(1+F39*가정!$B$10)</f>
        <v>0.0104</v>
      </c>
      <c r="I39" s="24" t="n">
        <f aca="false">ROUND(1/H39,0)</f>
        <v>96</v>
      </c>
    </row>
    <row r="40" customFormat="false" ht="15" hidden="false" customHeight="false" outlineLevel="0" collapsed="false">
      <c r="A40" s="4" t="s">
        <v>178</v>
      </c>
      <c r="B40" s="14" t="n">
        <v>6</v>
      </c>
      <c r="C40" s="11" t="s">
        <v>185</v>
      </c>
      <c r="D40" s="12" t="n">
        <v>55000</v>
      </c>
      <c r="E40" s="20" t="n">
        <f aca="false">SUM($D$35:D40)</f>
        <v>80400</v>
      </c>
      <c r="F40" s="21" t="n">
        <v>0.9</v>
      </c>
      <c r="G40" s="4" t="s">
        <v>180</v>
      </c>
      <c r="H40" s="23" t="n">
        <f aca="false">가정!$B$9*(1+F40*가정!$B$10)</f>
        <v>0.0112</v>
      </c>
      <c r="I40" s="24" t="n">
        <f aca="false">ROUND(1/H40,0)</f>
        <v>89</v>
      </c>
    </row>
    <row r="41" customFormat="false" ht="15" hidden="false" customHeight="false" outlineLevel="0" collapsed="false">
      <c r="A41" s="4" t="s">
        <v>178</v>
      </c>
      <c r="B41" s="14" t="n">
        <v>7</v>
      </c>
      <c r="C41" s="11" t="s">
        <v>186</v>
      </c>
      <c r="D41" s="12" t="n">
        <v>120000</v>
      </c>
      <c r="E41" s="20" t="n">
        <f aca="false">SUM($D$35:D41)</f>
        <v>200400</v>
      </c>
      <c r="F41" s="21" t="n">
        <v>1</v>
      </c>
      <c r="G41" s="4" t="s">
        <v>180</v>
      </c>
      <c r="H41" s="23" t="n">
        <f aca="false">가정!$B$9*(1+F41*가정!$B$10)</f>
        <v>0.012</v>
      </c>
      <c r="I41" s="24" t="n">
        <f aca="false">ROUND(1/H41,0)</f>
        <v>83</v>
      </c>
    </row>
    <row r="42" customFormat="false" ht="15" hidden="false" customHeight="false" outlineLevel="0" collapsed="false">
      <c r="A42" s="4" t="s">
        <v>178</v>
      </c>
      <c r="B42" s="14" t="n">
        <v>8</v>
      </c>
      <c r="C42" s="11" t="s">
        <v>187</v>
      </c>
      <c r="D42" s="12" t="n">
        <v>260000</v>
      </c>
      <c r="E42" s="20" t="n">
        <f aca="false">SUM($D$35:D42)</f>
        <v>460400</v>
      </c>
      <c r="F42" s="21" t="n">
        <v>1.1</v>
      </c>
      <c r="G42" s="4" t="s">
        <v>180</v>
      </c>
      <c r="H42" s="23" t="n">
        <f aca="false">가정!$B$9*(1+F42*가정!$B$10)</f>
        <v>0.0128</v>
      </c>
      <c r="I42" s="24" t="n">
        <f aca="false">ROUND(1/H42,0)</f>
        <v>78</v>
      </c>
    </row>
    <row r="43" customFormat="false" ht="15" hidden="false" customHeight="false" outlineLevel="0" collapsed="false">
      <c r="A43" s="4" t="s">
        <v>178</v>
      </c>
      <c r="B43" s="14" t="n">
        <v>9</v>
      </c>
      <c r="C43" s="11" t="s">
        <v>188</v>
      </c>
      <c r="D43" s="12" t="n">
        <v>560000</v>
      </c>
      <c r="E43" s="20" t="n">
        <f aca="false">SUM($D$35:D43)</f>
        <v>1020400</v>
      </c>
      <c r="F43" s="21" t="n">
        <v>1.2</v>
      </c>
      <c r="G43" s="4" t="s">
        <v>180</v>
      </c>
      <c r="H43" s="23" t="n">
        <f aca="false">가정!$B$9*(1+F43*가정!$B$10)</f>
        <v>0.0136</v>
      </c>
      <c r="I43" s="24" t="n">
        <f aca="false">ROUND(1/H43,0)</f>
        <v>74</v>
      </c>
    </row>
    <row r="44" customFormat="false" ht="15" hidden="false" customHeight="false" outlineLevel="0" collapsed="false">
      <c r="A44" s="4" t="s">
        <v>178</v>
      </c>
      <c r="B44" s="14" t="n">
        <v>10</v>
      </c>
      <c r="C44" s="11" t="s">
        <v>189</v>
      </c>
      <c r="D44" s="12" t="n">
        <v>1200000</v>
      </c>
      <c r="E44" s="20" t="n">
        <f aca="false">SUM($D$35:D44)</f>
        <v>2220400</v>
      </c>
      <c r="F44" s="21" t="n">
        <v>1.3</v>
      </c>
      <c r="G44" s="4" t="s">
        <v>180</v>
      </c>
      <c r="H44" s="23" t="n">
        <f aca="false">가정!$B$9*(1+F44*가정!$B$10)</f>
        <v>0.0144</v>
      </c>
      <c r="I44" s="24" t="n">
        <f aca="false">ROUND(1/H44,0)</f>
        <v>69</v>
      </c>
    </row>
    <row r="45" customFormat="false" ht="15" hidden="false" customHeight="false" outlineLevel="0" collapsed="false">
      <c r="C45" s="25" t="s">
        <v>190</v>
      </c>
      <c r="D45" s="26" t="n">
        <f aca="false">SUM(D5:D44)</f>
        <v>9449700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1.5" hidden="false" customHeight="true" outlineLevel="0" collapsed="false">
      <c r="A4" s="3" t="s">
        <v>193</v>
      </c>
      <c r="B4" s="3" t="s">
        <v>126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  <c r="N4" s="3" t="s">
        <v>205</v>
      </c>
      <c r="O4" s="3" t="s">
        <v>206</v>
      </c>
      <c r="P4" s="3" t="s">
        <v>207</v>
      </c>
      <c r="Q4" s="3" t="s">
        <v>208</v>
      </c>
      <c r="R4" s="3" t="s">
        <v>209</v>
      </c>
      <c r="S4" s="3" t="s">
        <v>210</v>
      </c>
      <c r="T4" s="3" t="s">
        <v>211</v>
      </c>
    </row>
    <row r="5" customFormat="false" ht="15" hidden="false" customHeight="false" outlineLevel="0" collapsed="false">
      <c r="A5" s="4" t="s">
        <v>212</v>
      </c>
      <c r="B5" s="11" t="s">
        <v>213</v>
      </c>
      <c r="C5" s="11" t="s">
        <v>214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215</v>
      </c>
      <c r="B6" s="11" t="s">
        <v>216</v>
      </c>
      <c r="C6" s="11" t="s">
        <v>214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217</v>
      </c>
      <c r="B7" s="11" t="s">
        <v>218</v>
      </c>
      <c r="C7" s="11" t="s">
        <v>214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219</v>
      </c>
      <c r="B8" s="11" t="s">
        <v>220</v>
      </c>
      <c r="C8" s="11" t="s">
        <v>214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221</v>
      </c>
      <c r="B9" s="11" t="s">
        <v>222</v>
      </c>
      <c r="C9" s="11" t="s">
        <v>223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224</v>
      </c>
      <c r="B10" s="11" t="s">
        <v>225</v>
      </c>
      <c r="C10" s="11" t="s">
        <v>223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226</v>
      </c>
      <c r="B11" s="11" t="s">
        <v>227</v>
      </c>
      <c r="C11" s="11" t="s">
        <v>223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228</v>
      </c>
      <c r="B12" s="11" t="s">
        <v>229</v>
      </c>
      <c r="C12" s="11" t="s">
        <v>223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230</v>
      </c>
      <c r="B13" s="11" t="s">
        <v>231</v>
      </c>
      <c r="C13" s="11" t="s">
        <v>214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232</v>
      </c>
      <c r="B14" s="11" t="s">
        <v>233</v>
      </c>
      <c r="C14" s="11" t="s">
        <v>223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234</v>
      </c>
      <c r="B15" s="11" t="s">
        <v>235</v>
      </c>
      <c r="C15" s="11" t="s">
        <v>223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236</v>
      </c>
      <c r="B16" s="11" t="s">
        <v>237</v>
      </c>
      <c r="C16" s="11" t="s">
        <v>214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238</v>
      </c>
      <c r="B17" s="11" t="s">
        <v>239</v>
      </c>
      <c r="C17" s="11" t="s">
        <v>214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240</v>
      </c>
      <c r="B18" s="11" t="s">
        <v>241</v>
      </c>
      <c r="C18" s="11" t="s">
        <v>223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242</v>
      </c>
      <c r="B19" s="11" t="s">
        <v>243</v>
      </c>
      <c r="C19" s="11" t="s">
        <v>214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244</v>
      </c>
      <c r="B20" s="11" t="s">
        <v>245</v>
      </c>
      <c r="C20" s="11" t="s">
        <v>214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246</v>
      </c>
      <c r="B21" s="11" t="s">
        <v>247</v>
      </c>
      <c r="C21" s="11" t="s">
        <v>223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248</v>
      </c>
      <c r="B22" s="11" t="s">
        <v>249</v>
      </c>
      <c r="C22" s="11" t="s">
        <v>223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250</v>
      </c>
      <c r="B23" s="11" t="s">
        <v>251</v>
      </c>
      <c r="C23" s="11" t="s">
        <v>223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252</v>
      </c>
      <c r="B24" s="11" t="s">
        <v>253</v>
      </c>
      <c r="C24" s="11" t="s">
        <v>223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254</v>
      </c>
      <c r="B25" s="11" t="s">
        <v>255</v>
      </c>
      <c r="C25" s="11" t="s">
        <v>223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256</v>
      </c>
      <c r="B26" s="11" t="s">
        <v>257</v>
      </c>
      <c r="C26" s="11" t="s">
        <v>223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258</v>
      </c>
      <c r="B27" s="11" t="s">
        <v>259</v>
      </c>
      <c r="C27" s="11" t="s">
        <v>214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260</v>
      </c>
      <c r="B28" s="11" t="s">
        <v>261</v>
      </c>
      <c r="C28" s="11" t="s">
        <v>214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262</v>
      </c>
      <c r="B29" s="11" t="s">
        <v>263</v>
      </c>
      <c r="C29" s="11" t="s">
        <v>214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264</v>
      </c>
      <c r="B30" s="11" t="s">
        <v>265</v>
      </c>
      <c r="C30" s="11" t="s">
        <v>223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266</v>
      </c>
      <c r="B31" s="11" t="s">
        <v>267</v>
      </c>
      <c r="C31" s="11" t="s">
        <v>223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268</v>
      </c>
      <c r="B32" s="11" t="s">
        <v>269</v>
      </c>
      <c r="C32" s="11" t="s">
        <v>214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270</v>
      </c>
      <c r="B33" s="11" t="s">
        <v>271</v>
      </c>
      <c r="C33" s="11" t="s">
        <v>214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272</v>
      </c>
      <c r="B34" s="11" t="s">
        <v>273</v>
      </c>
      <c r="C34" s="11" t="s">
        <v>223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274</v>
      </c>
      <c r="B35" s="11" t="s">
        <v>275</v>
      </c>
      <c r="C35" s="11" t="s">
        <v>214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276</v>
      </c>
      <c r="B36" s="11" t="s">
        <v>277</v>
      </c>
      <c r="C36" s="11" t="s">
        <v>214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278</v>
      </c>
      <c r="B37" s="11" t="s">
        <v>279</v>
      </c>
      <c r="C37" s="11" t="s">
        <v>223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280</v>
      </c>
      <c r="B38" s="11" t="s">
        <v>281</v>
      </c>
      <c r="C38" s="11" t="s">
        <v>223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282</v>
      </c>
      <c r="B39" s="11" t="s">
        <v>283</v>
      </c>
      <c r="C39" s="11" t="s">
        <v>223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284</v>
      </c>
      <c r="B40" s="11" t="s">
        <v>285</v>
      </c>
      <c r="C40" s="11" t="s">
        <v>223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286</v>
      </c>
      <c r="B41" s="11" t="s">
        <v>287</v>
      </c>
      <c r="C41" s="11" t="s">
        <v>214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288</v>
      </c>
      <c r="B42" s="11" t="s">
        <v>289</v>
      </c>
      <c r="C42" s="11" t="s">
        <v>214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290</v>
      </c>
      <c r="B43" s="11" t="s">
        <v>291</v>
      </c>
      <c r="C43" s="11" t="s">
        <v>214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292</v>
      </c>
      <c r="B44" s="11" t="s">
        <v>293</v>
      </c>
      <c r="C44" s="11" t="s">
        <v>223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294</v>
      </c>
      <c r="B45" s="11" t="s">
        <v>295</v>
      </c>
      <c r="C45" s="11" t="s">
        <v>223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296</v>
      </c>
      <c r="B46" s="11" t="s">
        <v>297</v>
      </c>
      <c r="C46" s="11" t="s">
        <v>223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298</v>
      </c>
      <c r="B47" s="11" t="s">
        <v>299</v>
      </c>
      <c r="C47" s="11" t="s">
        <v>223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300</v>
      </c>
      <c r="B48" s="11" t="s">
        <v>301</v>
      </c>
      <c r="C48" s="11" t="s">
        <v>223</v>
      </c>
      <c r="D48" s="4" t="s">
        <v>302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303</v>
      </c>
      <c r="B49" s="11" t="s">
        <v>304</v>
      </c>
      <c r="C49" s="11" t="s">
        <v>223</v>
      </c>
      <c r="D49" s="4" t="s">
        <v>302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305</v>
      </c>
      <c r="B50" s="11" t="s">
        <v>306</v>
      </c>
      <c r="C50" s="11" t="s">
        <v>214</v>
      </c>
      <c r="D50" s="4" t="s">
        <v>302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307</v>
      </c>
      <c r="B51" s="11" t="s">
        <v>308</v>
      </c>
      <c r="C51" s="11" t="s">
        <v>223</v>
      </c>
      <c r="D51" s="4" t="s">
        <v>302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31.5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  <c r="E4" s="3" t="s">
        <v>315</v>
      </c>
      <c r="F4" s="3" t="s">
        <v>203</v>
      </c>
      <c r="G4" s="3" t="s">
        <v>316</v>
      </c>
      <c r="H4" s="3" t="s">
        <v>317</v>
      </c>
      <c r="I4" s="3" t="s">
        <v>318</v>
      </c>
      <c r="J4" s="3" t="s">
        <v>319</v>
      </c>
    </row>
    <row r="5" customFormat="false" ht="15" hidden="false" customHeight="false" outlineLevel="0" collapsed="false">
      <c r="A5" s="4" t="s">
        <v>320</v>
      </c>
      <c r="B5" s="4" t="s">
        <v>321</v>
      </c>
      <c r="C5" s="12" t="n">
        <v>0</v>
      </c>
      <c r="D5" s="11" t="s">
        <v>214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322</v>
      </c>
      <c r="B6" s="4" t="s">
        <v>323</v>
      </c>
      <c r="C6" s="12" t="n">
        <v>150</v>
      </c>
      <c r="D6" s="11" t="s">
        <v>214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324</v>
      </c>
      <c r="B7" s="4" t="s">
        <v>325</v>
      </c>
      <c r="C7" s="12" t="n">
        <v>600</v>
      </c>
      <c r="D7" s="11" t="s">
        <v>214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326</v>
      </c>
      <c r="B8" s="4" t="s">
        <v>327</v>
      </c>
      <c r="C8" s="12" t="n">
        <v>1500</v>
      </c>
      <c r="D8" s="11" t="s">
        <v>214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328</v>
      </c>
      <c r="B9" s="4" t="s">
        <v>329</v>
      </c>
      <c r="C9" s="12" t="n">
        <v>3000</v>
      </c>
      <c r="D9" s="11" t="s">
        <v>214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330</v>
      </c>
      <c r="B10" s="4" t="s">
        <v>331</v>
      </c>
      <c r="C10" s="12" t="n">
        <v>8000</v>
      </c>
      <c r="D10" s="11" t="s">
        <v>223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332</v>
      </c>
      <c r="B11" s="4" t="s">
        <v>333</v>
      </c>
      <c r="C11" s="12" t="n">
        <v>25000</v>
      </c>
      <c r="D11" s="11" t="s">
        <v>223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334</v>
      </c>
      <c r="B12" s="4" t="s">
        <v>335</v>
      </c>
      <c r="C12" s="12" t="n">
        <v>50000</v>
      </c>
      <c r="D12" s="11" t="s">
        <v>223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336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337</v>
      </c>
      <c r="B13" s="4" t="s">
        <v>338</v>
      </c>
      <c r="C13" s="4" t="s">
        <v>339</v>
      </c>
      <c r="D13" s="11" t="s">
        <v>223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336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340</v>
      </c>
    </row>
    <row r="17" customFormat="false" ht="31.5" hidden="false" customHeight="true" outlineLevel="0" collapsed="false">
      <c r="A17" s="3" t="s">
        <v>312</v>
      </c>
      <c r="B17" s="3" t="s">
        <v>341</v>
      </c>
      <c r="C17" s="3" t="s">
        <v>126</v>
      </c>
      <c r="D17" s="3" t="s">
        <v>194</v>
      </c>
      <c r="E17" s="3" t="s">
        <v>342</v>
      </c>
      <c r="F17" s="3" t="s">
        <v>343</v>
      </c>
      <c r="G17" s="3" t="s">
        <v>344</v>
      </c>
      <c r="H17" s="3" t="s">
        <v>203</v>
      </c>
      <c r="I17" s="3" t="s">
        <v>206</v>
      </c>
      <c r="J17" s="3" t="s">
        <v>345</v>
      </c>
      <c r="K17" s="3" t="s">
        <v>346</v>
      </c>
      <c r="L17" s="3"/>
      <c r="M17" s="3" t="s">
        <v>347</v>
      </c>
      <c r="N17" s="3" t="s">
        <v>348</v>
      </c>
      <c r="O17" s="3" t="s">
        <v>196</v>
      </c>
      <c r="P17" s="3" t="s">
        <v>197</v>
      </c>
      <c r="Q17" s="3" t="s">
        <v>198</v>
      </c>
      <c r="R17" s="3" t="s">
        <v>200</v>
      </c>
      <c r="S17" s="3" t="s">
        <v>349</v>
      </c>
    </row>
    <row r="18" customFormat="false" ht="15" hidden="false" customHeight="false" outlineLevel="0" collapsed="false">
      <c r="A18" s="4" t="s">
        <v>321</v>
      </c>
      <c r="B18" s="4" t="s">
        <v>212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321</v>
      </c>
      <c r="B19" s="4" t="s">
        <v>215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321</v>
      </c>
      <c r="B20" s="4" t="s">
        <v>217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323</v>
      </c>
      <c r="B21" s="4" t="s">
        <v>258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323</v>
      </c>
      <c r="B22" s="4" t="s">
        <v>219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323</v>
      </c>
      <c r="B23" s="4" t="s">
        <v>260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323</v>
      </c>
      <c r="B24" s="4" t="s">
        <v>262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323</v>
      </c>
      <c r="B25" s="4" t="s">
        <v>264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323</v>
      </c>
      <c r="B26" s="4" t="s">
        <v>266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325</v>
      </c>
      <c r="B27" s="4" t="s">
        <v>219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325</v>
      </c>
      <c r="B28" s="4" t="s">
        <v>212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325</v>
      </c>
      <c r="B29" s="4" t="s">
        <v>217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325</v>
      </c>
      <c r="B30" s="4" t="s">
        <v>221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325</v>
      </c>
      <c r="B31" s="4" t="s">
        <v>224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325</v>
      </c>
      <c r="B32" s="4" t="s">
        <v>226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325</v>
      </c>
      <c r="B33" s="4" t="s">
        <v>228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327</v>
      </c>
      <c r="B34" s="4" t="s">
        <v>230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327</v>
      </c>
      <c r="B35" s="4" t="s">
        <v>232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327</v>
      </c>
      <c r="B36" s="4" t="s">
        <v>234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327</v>
      </c>
      <c r="B37" s="4" t="s">
        <v>236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327</v>
      </c>
      <c r="B38" s="4" t="s">
        <v>238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327</v>
      </c>
      <c r="B39" s="4" t="s">
        <v>240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327</v>
      </c>
      <c r="B40" s="4" t="s">
        <v>242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327</v>
      </c>
      <c r="B41" s="4" t="s">
        <v>244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329</v>
      </c>
      <c r="B42" s="4" t="s">
        <v>268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329</v>
      </c>
      <c r="B43" s="4" t="s">
        <v>270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329</v>
      </c>
      <c r="B44" s="4" t="s">
        <v>236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329</v>
      </c>
      <c r="B45" s="4" t="s">
        <v>238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329</v>
      </c>
      <c r="B46" s="4" t="s">
        <v>242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329</v>
      </c>
      <c r="B47" s="4" t="s">
        <v>252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329</v>
      </c>
      <c r="B48" s="4" t="s">
        <v>272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331</v>
      </c>
      <c r="B49" s="4" t="s">
        <v>246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331</v>
      </c>
      <c r="B50" s="4" t="s">
        <v>248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331</v>
      </c>
      <c r="B51" s="4" t="s">
        <v>250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331</v>
      </c>
      <c r="B52" s="4" t="s">
        <v>252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331</v>
      </c>
      <c r="B53" s="4" t="s">
        <v>254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331</v>
      </c>
      <c r="B54" s="4" t="s">
        <v>256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333</v>
      </c>
      <c r="B55" s="4" t="s">
        <v>274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333</v>
      </c>
      <c r="B56" s="4" t="s">
        <v>276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333</v>
      </c>
      <c r="B57" s="4" t="s">
        <v>278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333</v>
      </c>
      <c r="B58" s="4" t="s">
        <v>280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333</v>
      </c>
      <c r="B59" s="4" t="s">
        <v>282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333</v>
      </c>
      <c r="B60" s="4" t="s">
        <v>284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335</v>
      </c>
      <c r="B61" s="4" t="s">
        <v>286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335</v>
      </c>
      <c r="B62" s="4" t="s">
        <v>288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335</v>
      </c>
      <c r="B63" s="4" t="s">
        <v>292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335</v>
      </c>
      <c r="B64" s="4" t="s">
        <v>290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335</v>
      </c>
      <c r="B65" s="4" t="s">
        <v>294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335</v>
      </c>
      <c r="B66" s="4" t="s">
        <v>296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335</v>
      </c>
      <c r="B67" s="4" t="s">
        <v>298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338</v>
      </c>
      <c r="B68" s="4" t="s">
        <v>250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338</v>
      </c>
      <c r="B69" s="4" t="s">
        <v>252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338</v>
      </c>
      <c r="B70" s="4" t="s">
        <v>254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338</v>
      </c>
      <c r="B71" s="4" t="s">
        <v>303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338</v>
      </c>
      <c r="B72" s="4" t="s">
        <v>300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338</v>
      </c>
      <c r="B73" s="4" t="s">
        <v>305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338</v>
      </c>
      <c r="B74" s="4" t="s">
        <v>307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3" customFormat="false" ht="15" hidden="false" customHeight="false" outlineLevel="0" collapsed="false">
      <c r="A3" s="2" t="s">
        <v>352</v>
      </c>
    </row>
    <row r="5" customFormat="false" ht="31.5" hidden="false" customHeight="true" outlineLevel="0" collapsed="false">
      <c r="A5" s="3" t="s">
        <v>125</v>
      </c>
      <c r="B5" s="3" t="s">
        <v>126</v>
      </c>
      <c r="C5" s="3" t="s">
        <v>353</v>
      </c>
      <c r="D5" s="3" t="s">
        <v>128</v>
      </c>
      <c r="E5" s="3" t="s">
        <v>354</v>
      </c>
      <c r="F5" s="3" t="s">
        <v>355</v>
      </c>
      <c r="G5" s="3" t="s">
        <v>356</v>
      </c>
      <c r="H5" s="3" t="s">
        <v>357</v>
      </c>
      <c r="I5" s="3" t="s">
        <v>358</v>
      </c>
      <c r="J5" s="3" t="s">
        <v>359</v>
      </c>
      <c r="K5" s="3" t="s">
        <v>360</v>
      </c>
      <c r="L5" s="3" t="s">
        <v>361</v>
      </c>
      <c r="M5" s="3" t="s">
        <v>362</v>
      </c>
      <c r="N5" s="3" t="s">
        <v>363</v>
      </c>
      <c r="O5" s="3" t="s">
        <v>364</v>
      </c>
      <c r="P5" s="3" t="s">
        <v>365</v>
      </c>
      <c r="Q5" s="3" t="s">
        <v>366</v>
      </c>
      <c r="R5" s="3" t="s">
        <v>367</v>
      </c>
      <c r="S5" s="3" t="s">
        <v>368</v>
      </c>
    </row>
    <row r="6" customFormat="false" ht="15" hidden="false" customHeight="false" outlineLevel="0" collapsed="false">
      <c r="A6" s="14" t="n">
        <v>1</v>
      </c>
      <c r="B6" s="11" t="s">
        <v>369</v>
      </c>
      <c r="C6" s="12" t="n">
        <v>4000</v>
      </c>
      <c r="D6" s="20" t="n">
        <f aca="false">SUM($C$6:C6)</f>
        <v>4000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149.532928305487</v>
      </c>
      <c r="R6" s="24" t="n">
        <f aca="false">C6/O6</f>
        <v>8.96810280328499</v>
      </c>
      <c r="S6" s="24" t="n">
        <f aca="false">C6/P6</f>
        <v>3.08733887524713</v>
      </c>
    </row>
    <row r="7" customFormat="false" ht="15" hidden="false" customHeight="false" outlineLevel="0" collapsed="false">
      <c r="A7" s="14" t="n">
        <v>2</v>
      </c>
      <c r="B7" s="11" t="s">
        <v>370</v>
      </c>
      <c r="C7" s="12" t="n">
        <v>16000</v>
      </c>
      <c r="D7" s="20" t="n">
        <f aca="false">SUM($C$6:C7)</f>
        <v>20000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403.892838404169</v>
      </c>
      <c r="R7" s="24" t="n">
        <f aca="false">C7/O7</f>
        <v>25.3233199852807</v>
      </c>
      <c r="S7" s="24" t="n">
        <f aca="false">C7/P7</f>
        <v>9.7672149913988</v>
      </c>
    </row>
    <row r="8" customFormat="false" ht="15" hidden="false" customHeight="false" outlineLevel="0" collapsed="false">
      <c r="A8" s="14" t="n">
        <v>3</v>
      </c>
      <c r="B8" s="11" t="s">
        <v>371</v>
      </c>
      <c r="C8" s="12" t="n">
        <v>50000</v>
      </c>
      <c r="D8" s="20" t="n">
        <f aca="false">SUM($C$6:C8)</f>
        <v>70000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807.223911160178</v>
      </c>
      <c r="R8" s="24" t="n">
        <f aca="false">C8/O8</f>
        <v>54.1904500738508</v>
      </c>
      <c r="S8" s="24" t="n">
        <f aca="false">C8/P8</f>
        <v>23.1298818491355</v>
      </c>
    </row>
    <row r="9" customFormat="false" ht="15" hidden="false" customHeight="false" outlineLevel="0" collapsed="false">
      <c r="A9" s="14" t="n">
        <v>4</v>
      </c>
      <c r="B9" s="11" t="s">
        <v>372</v>
      </c>
      <c r="C9" s="12" t="n">
        <v>125000</v>
      </c>
      <c r="D9" s="20" t="n">
        <f aca="false">SUM($C$6:C9)</f>
        <v>195000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1165.65317658111</v>
      </c>
      <c r="R9" s="24" t="n">
        <f aca="false">C9/O9</f>
        <v>86.5023118145364</v>
      </c>
      <c r="S9" s="24" t="n">
        <f aca="false">C9/P9</f>
        <v>40.63881927276</v>
      </c>
    </row>
    <row r="10" customFormat="false" ht="15" hidden="false" customHeight="false" outlineLevel="0" collapsed="false">
      <c r="A10" s="14" t="n">
        <v>5</v>
      </c>
      <c r="B10" s="11" t="s">
        <v>373</v>
      </c>
      <c r="C10" s="12" t="n">
        <v>340000</v>
      </c>
      <c r="D10" s="20" t="n">
        <f aca="false">SUM($C$6:C10)</f>
        <v>535000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1549.55918185557</v>
      </c>
      <c r="R10" s="24" t="n">
        <f aca="false">C10/O10</f>
        <v>132.381897071716</v>
      </c>
      <c r="S10" s="24" t="n">
        <f aca="false">C10/P10</f>
        <v>68.3984492183964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2" t="s">
        <v>376</v>
      </c>
    </row>
    <row r="4" customFormat="false" ht="15" hidden="false" customHeight="false" outlineLevel="0" collapsed="false">
      <c r="A4" s="4" t="s">
        <v>377</v>
      </c>
      <c r="B4" s="32" t="n">
        <v>1.2</v>
      </c>
      <c r="C4" s="4" t="s">
        <v>378</v>
      </c>
      <c r="D4" s="21" t="n">
        <v>0.6</v>
      </c>
      <c r="E4" s="4" t="s">
        <v>379</v>
      </c>
      <c r="F4" s="22" t="n">
        <v>0.7</v>
      </c>
    </row>
    <row r="6" customFormat="false" ht="31.5" hidden="false" customHeight="true" outlineLevel="0" collapsed="false">
      <c r="A6" s="3" t="s">
        <v>312</v>
      </c>
      <c r="B6" s="3" t="s">
        <v>380</v>
      </c>
      <c r="C6" s="3" t="s">
        <v>381</v>
      </c>
      <c r="D6" s="3" t="s">
        <v>196</v>
      </c>
      <c r="E6" s="3" t="s">
        <v>197</v>
      </c>
      <c r="F6" s="3" t="s">
        <v>198</v>
      </c>
      <c r="G6" s="3" t="s">
        <v>382</v>
      </c>
      <c r="H6" s="3" t="s">
        <v>383</v>
      </c>
      <c r="I6" s="3" t="s">
        <v>200</v>
      </c>
      <c r="J6" s="3" t="s">
        <v>384</v>
      </c>
      <c r="K6" s="3" t="s">
        <v>385</v>
      </c>
      <c r="L6" s="3" t="s">
        <v>386</v>
      </c>
      <c r="M6" s="3" t="s">
        <v>387</v>
      </c>
      <c r="N6" s="3" t="s">
        <v>388</v>
      </c>
    </row>
    <row r="7" customFormat="false" ht="15" hidden="false" customHeight="false" outlineLevel="0" collapsed="false">
      <c r="A7" s="31" t="str">
        <f aca="false">낚시터!B6</f>
        <v>하천</v>
      </c>
      <c r="B7" s="11" t="s">
        <v>389</v>
      </c>
      <c r="C7" s="4" t="s">
        <v>265</v>
      </c>
      <c r="D7" s="9" t="n">
        <v>45</v>
      </c>
      <c r="E7" s="9" t="n">
        <v>60</v>
      </c>
      <c r="F7" s="12" t="n">
        <v>1500</v>
      </c>
      <c r="G7" s="9" t="n">
        <v>30</v>
      </c>
      <c r="H7" s="22" t="n">
        <v>0.74</v>
      </c>
      <c r="I7" s="27" t="n">
        <f aca="false">(D7+E7)/2</f>
        <v>52.5</v>
      </c>
      <c r="J7" s="20" t="n">
        <f aca="false">F7*(D7^2+2*D7*(E7-D7)/(1+$B$4)+(E7-D7)^2/(1+2*$B$4))/I7^2</f>
        <v>1472.00698461203</v>
      </c>
      <c r="K7" s="20" t="n">
        <f aca="false">G7*낚시터!F6</f>
        <v>687.180044062907</v>
      </c>
      <c r="L7" s="34" t="n">
        <f aca="false">J7/K7</f>
        <v>2.14209798047813</v>
      </c>
      <c r="M7" s="28" t="n">
        <f aca="false">0.08*H7^2*1.5</f>
        <v>0.065712</v>
      </c>
      <c r="N7" s="28" t="n">
        <f aca="false">0.28*H7^2*1.5</f>
        <v>0.229992</v>
      </c>
    </row>
    <row r="8" customFormat="false" ht="15" hidden="false" customHeight="false" outlineLevel="0" collapsed="false">
      <c r="A8" s="31" t="str">
        <f aca="false">낚시터!B7</f>
        <v>강</v>
      </c>
      <c r="B8" s="11" t="s">
        <v>390</v>
      </c>
      <c r="C8" s="4" t="s">
        <v>222</v>
      </c>
      <c r="D8" s="9" t="n">
        <v>180</v>
      </c>
      <c r="E8" s="9" t="n">
        <v>240</v>
      </c>
      <c r="F8" s="12" t="n">
        <v>4000</v>
      </c>
      <c r="G8" s="9" t="n">
        <v>30</v>
      </c>
      <c r="H8" s="22" t="n">
        <v>0.8</v>
      </c>
      <c r="I8" s="27" t="n">
        <f aca="false">(D8+E8)/2</f>
        <v>210</v>
      </c>
      <c r="J8" s="20" t="n">
        <f aca="false">F8*(D8^2+2*D8*(E8-D8)/(1+$B$4)+(E8-D8)^2/(1+2*$B$4))/I8^2</f>
        <v>3925.3519589654</v>
      </c>
      <c r="K8" s="20" t="n">
        <f aca="false">G8*낚시터!F7</f>
        <v>1410.44600942809</v>
      </c>
      <c r="L8" s="34" t="n">
        <f aca="false">J8/K8</f>
        <v>2.78305722638548</v>
      </c>
      <c r="M8" s="28" t="n">
        <f aca="false">0.08*H8^2*1.5</f>
        <v>0.0768</v>
      </c>
      <c r="N8" s="28" t="n">
        <f aca="false">0.28*H8^2*1.5</f>
        <v>0.2688</v>
      </c>
    </row>
    <row r="9" customFormat="false" ht="15" hidden="false" customHeight="false" outlineLevel="0" collapsed="false">
      <c r="A9" s="31" t="str">
        <f aca="false">낚시터!B8</f>
        <v>방파제</v>
      </c>
      <c r="B9" s="11" t="s">
        <v>391</v>
      </c>
      <c r="C9" s="4" t="s">
        <v>245</v>
      </c>
      <c r="D9" s="9" t="n">
        <v>90</v>
      </c>
      <c r="E9" s="9" t="n">
        <v>120</v>
      </c>
      <c r="F9" s="12" t="n">
        <v>9000</v>
      </c>
      <c r="G9" s="9" t="n">
        <v>30</v>
      </c>
      <c r="H9" s="22" t="n">
        <v>0.86</v>
      </c>
      <c r="I9" s="27" t="n">
        <f aca="false">(D9+E9)/2</f>
        <v>105</v>
      </c>
      <c r="J9" s="20" t="n">
        <f aca="false">F9*(D9^2+2*D9*(E9-D9)/(1+$B$4)+(E9-D9)^2/(1+2*$B$4))/I9^2</f>
        <v>8832.04190767216</v>
      </c>
      <c r="K9" s="20" t="n">
        <f aca="false">G9*낚시터!F8</f>
        <v>3666.64612443758</v>
      </c>
      <c r="L9" s="34" t="n">
        <f aca="false">J9/K9</f>
        <v>2.40875219694862</v>
      </c>
      <c r="M9" s="28" t="n">
        <f aca="false">0.08*H9^2*1.5</f>
        <v>0.088752</v>
      </c>
      <c r="N9" s="28" t="n">
        <f aca="false">0.28*H9^2*1.5</f>
        <v>0.310632</v>
      </c>
    </row>
    <row r="10" customFormat="false" ht="15" hidden="false" customHeight="false" outlineLevel="0" collapsed="false">
      <c r="A10" s="31" t="str">
        <f aca="false">낚시터!B9</f>
        <v>독도</v>
      </c>
      <c r="B10" s="11" t="s">
        <v>392</v>
      </c>
      <c r="C10" s="4" t="s">
        <v>273</v>
      </c>
      <c r="D10" s="9" t="n">
        <v>120</v>
      </c>
      <c r="E10" s="9" t="n">
        <v>160</v>
      </c>
      <c r="F10" s="12" t="n">
        <v>20000</v>
      </c>
      <c r="G10" s="9" t="n">
        <v>30</v>
      </c>
      <c r="H10" s="22" t="n">
        <v>0.9</v>
      </c>
      <c r="I10" s="27" t="n">
        <f aca="false">(D10+E10)/2</f>
        <v>140</v>
      </c>
      <c r="J10" s="20" t="n">
        <f aca="false">F10*(D10^2+2*D10*(E10-D10)/(1+$B$4)+(E10-D10)^2/(1+2*$B$4))/I10^2</f>
        <v>19626.759794827</v>
      </c>
      <c r="K10" s="20" t="n">
        <f aca="false">G10*낚시터!F9</f>
        <v>8082.87564941138</v>
      </c>
      <c r="L10" s="34" t="n">
        <f aca="false">J10/K10</f>
        <v>2.42819024393333</v>
      </c>
      <c r="M10" s="28" t="n">
        <f aca="false">0.08*H10^2*1.5</f>
        <v>0.0972</v>
      </c>
      <c r="N10" s="28" t="n">
        <f aca="false">0.28*H10^2*1.5</f>
        <v>0.3402</v>
      </c>
    </row>
    <row r="11" customFormat="false" ht="15" hidden="false" customHeight="false" outlineLevel="0" collapsed="false">
      <c r="A11" s="31" t="str">
        <f aca="false">낚시터!B10</f>
        <v>배낚시</v>
      </c>
      <c r="B11" s="11" t="s">
        <v>393</v>
      </c>
      <c r="C11" s="4" t="s">
        <v>257</v>
      </c>
      <c r="D11" s="9" t="n">
        <v>300</v>
      </c>
      <c r="E11" s="9" t="n">
        <v>380</v>
      </c>
      <c r="F11" s="12" t="n">
        <v>60000</v>
      </c>
      <c r="G11" s="9" t="n">
        <v>30</v>
      </c>
      <c r="H11" s="22" t="n">
        <v>0.94</v>
      </c>
      <c r="I11" s="27" t="n">
        <f aca="false">(D11+E11)/2</f>
        <v>340</v>
      </c>
      <c r="J11" s="20" t="n">
        <f aca="false">F11*(D11^2+2*D11*(E11-D11)/(1+$B$4)+(E11-D11)^2/(1+2*$B$4))/I11^2</f>
        <v>59014.1183872102</v>
      </c>
      <c r="K11" s="20" t="n">
        <f aca="false">G11*낚시터!F10</f>
        <v>22748.0783996495</v>
      </c>
      <c r="L11" s="34" t="n">
        <f aca="false">J11/K11</f>
        <v>2.59424630733291</v>
      </c>
      <c r="M11" s="28" t="n">
        <f aca="false">0.08*H11^2*1.5</f>
        <v>0.106032</v>
      </c>
      <c r="N11" s="28" t="n">
        <f aca="false">0.28*H11^2*1.5</f>
        <v>0.371112</v>
      </c>
    </row>
    <row r="12" customFormat="false" ht="15" hidden="false" customHeight="false" outlineLevel="0" collapsed="false">
      <c r="A12" s="31" t="str">
        <f aca="false">낚시터!B11</f>
        <v>아마존</v>
      </c>
      <c r="B12" s="11" t="s">
        <v>394</v>
      </c>
      <c r="C12" s="4" t="s">
        <v>285</v>
      </c>
      <c r="D12" s="9" t="n">
        <v>350</v>
      </c>
      <c r="E12" s="9" t="n">
        <v>450</v>
      </c>
      <c r="F12" s="12" t="n">
        <v>100000</v>
      </c>
      <c r="G12" s="9" t="n">
        <v>30</v>
      </c>
      <c r="H12" s="22" t="n">
        <v>0.98</v>
      </c>
      <c r="I12" s="27" t="n">
        <f aca="false">(D12+E12)/2</f>
        <v>400</v>
      </c>
      <c r="J12" s="20" t="n">
        <f aca="false">F12*(D12^2+2*D12*(E12-D12)/(1+$B$4)+(E12-D12)^2/(1+2*$B$4))/I12^2</f>
        <v>98287.0989304813</v>
      </c>
      <c r="K12" s="20" t="n">
        <f aca="false">G12*낚시터!F11</f>
        <v>37854.9081416378</v>
      </c>
      <c r="L12" s="34" t="n">
        <f aca="false">J12/K12</f>
        <v>2.59641625764169</v>
      </c>
      <c r="M12" s="28" t="n">
        <f aca="false">0.08*H12^2*1.5</f>
        <v>0.115248</v>
      </c>
      <c r="N12" s="28" t="n">
        <f aca="false">0.28*H12^2*1.5</f>
        <v>0.403368</v>
      </c>
    </row>
    <row r="13" customFormat="false" ht="15" hidden="false" customHeight="false" outlineLevel="0" collapsed="false">
      <c r="A13" s="31" t="str">
        <f aca="false">낚시터!B12</f>
        <v>알래스카</v>
      </c>
      <c r="B13" s="11" t="s">
        <v>395</v>
      </c>
      <c r="C13" s="4" t="s">
        <v>299</v>
      </c>
      <c r="D13" s="9" t="n">
        <v>300</v>
      </c>
      <c r="E13" s="9" t="n">
        <v>380</v>
      </c>
      <c r="F13" s="12" t="n">
        <v>160000</v>
      </c>
      <c r="G13" s="9" t="n">
        <v>30</v>
      </c>
      <c r="H13" s="22" t="n">
        <v>1</v>
      </c>
      <c r="I13" s="27" t="n">
        <f aca="false">(D13+E13)/2</f>
        <v>340</v>
      </c>
      <c r="J13" s="20" t="n">
        <f aca="false">F13*(D13^2+2*D13*(E13-D13)/(1+$B$4)+(E13-D13)^2/(1+2*$B$4))/I13^2</f>
        <v>157370.982365894</v>
      </c>
      <c r="K13" s="20" t="n">
        <f aca="false">G13*낚시터!F12</f>
        <v>60265.1109320687</v>
      </c>
      <c r="L13" s="34" t="n">
        <f aca="false">J13/K13</f>
        <v>2.61131158529325</v>
      </c>
      <c r="M13" s="28" t="n">
        <f aca="false">0.08*H13^2*1.5</f>
        <v>0.12</v>
      </c>
      <c r="N13" s="28" t="n">
        <f aca="false">0.28*H13^2*1.5</f>
        <v>0.42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3" t="s">
        <v>398</v>
      </c>
      <c r="B4" s="3" t="s">
        <v>399</v>
      </c>
      <c r="C4" s="3" t="s">
        <v>400</v>
      </c>
      <c r="D4" s="3" t="s">
        <v>401</v>
      </c>
      <c r="E4" s="3" t="s">
        <v>402</v>
      </c>
    </row>
    <row r="5" customFormat="false" ht="15" hidden="false" customHeight="false" outlineLevel="0" collapsed="false">
      <c r="A5" s="4" t="s">
        <v>403</v>
      </c>
      <c r="B5" s="21" t="n">
        <v>0.7</v>
      </c>
      <c r="C5" s="32" t="n">
        <v>0.2</v>
      </c>
      <c r="D5" s="29" t="n">
        <f aca="false">1-B5^(1/가정!$B$5)</f>
        <v>0.17975544602499</v>
      </c>
      <c r="E5" s="29" t="n">
        <f aca="false">1-B5^(1/MAX(0.9,가정!$B$5-1.3*가정!$B$6))</f>
        <v>0.29508730279311</v>
      </c>
    </row>
    <row r="6" customFormat="false" ht="15" hidden="false" customHeight="false" outlineLevel="0" collapsed="false">
      <c r="A6" s="4" t="s">
        <v>404</v>
      </c>
      <c r="B6" s="21" t="n">
        <v>0.85</v>
      </c>
      <c r="C6" s="32" t="n">
        <v>0.5</v>
      </c>
      <c r="D6" s="29" t="n">
        <f aca="false">1-B6^(1/가정!$B$5)</f>
        <v>0.0863322577807185</v>
      </c>
      <c r="E6" s="29" t="n">
        <f aca="false">1-B6^(1/MAX(0.9,가정!$B$5-1.3*가정!$B$6))</f>
        <v>0.147287030835092</v>
      </c>
    </row>
    <row r="7" customFormat="false" ht="15" hidden="false" customHeight="false" outlineLevel="0" collapsed="false">
      <c r="A7" s="4" t="s">
        <v>405</v>
      </c>
      <c r="B7" s="21" t="n">
        <v>0.95</v>
      </c>
      <c r="C7" s="32" t="n">
        <v>1</v>
      </c>
      <c r="D7" s="29" t="n">
        <f aca="false">1-B7^(1/가정!$B$5)</f>
        <v>0.0280940851803841</v>
      </c>
      <c r="E7" s="29" t="n">
        <f aca="false">1-B7^(1/MAX(0.9,가정!$B$5-1.3*가정!$B$6))</f>
        <v>0.0490440560330157</v>
      </c>
    </row>
    <row r="9" customFormat="false" ht="31.5" hidden="false" customHeight="true" outlineLevel="0" collapsed="false">
      <c r="A9" s="3" t="s">
        <v>406</v>
      </c>
      <c r="B9" s="3" t="s">
        <v>407</v>
      </c>
      <c r="C9" s="3" t="s">
        <v>408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</row>
    <row r="10" customFormat="false" ht="15" hidden="false" customHeight="false" outlineLevel="0" collapsed="false">
      <c r="A10" s="31" t="str">
        <f aca="false">물고기!B5</f>
        <v>붕어</v>
      </c>
      <c r="B10" s="31" t="n">
        <f aca="false">물고기!E5</f>
        <v>12</v>
      </c>
      <c r="C10" s="31" t="n">
        <f aca="false">물고기!F5</f>
        <v>30</v>
      </c>
      <c r="D10" s="5" t="n">
        <f aca="false">물고기!G5</f>
        <v>12</v>
      </c>
      <c r="E10" s="27" t="n">
        <f aca="false">ROUND(B10+(C10-B10)*$B$5,1)</f>
        <v>24.6</v>
      </c>
      <c r="F10" s="27" t="n">
        <f aca="false">ROUND(B10+(C10-B10)*$B$6,1)</f>
        <v>27.3</v>
      </c>
      <c r="G10" s="27" t="n">
        <f aca="false">ROUND(B10+(C10-B10)*$B$7,1)</f>
        <v>29.1</v>
      </c>
      <c r="H10" s="20" t="n">
        <f aca="false">D10*SUM($C$5:$C$7)</f>
        <v>20.4</v>
      </c>
    </row>
    <row r="11" customFormat="false" ht="15" hidden="false" customHeight="false" outlineLevel="0" collapsed="false">
      <c r="A11" s="31" t="str">
        <f aca="false">물고기!B6</f>
        <v>향어</v>
      </c>
      <c r="B11" s="31" t="n">
        <f aca="false">물고기!E6</f>
        <v>25</v>
      </c>
      <c r="C11" s="31" t="n">
        <f aca="false">물고기!F6</f>
        <v>50</v>
      </c>
      <c r="D11" s="5" t="n">
        <f aca="false">물고기!G6</f>
        <v>30</v>
      </c>
      <c r="E11" s="27" t="n">
        <f aca="false">ROUND(B11+(C11-B11)*$B$5,1)</f>
        <v>42.5</v>
      </c>
      <c r="F11" s="27" t="n">
        <f aca="false">ROUND(B11+(C11-B11)*$B$6,1)</f>
        <v>46.3</v>
      </c>
      <c r="G11" s="27" t="n">
        <f aca="false">ROUND(B11+(C11-B11)*$B$7,1)</f>
        <v>48.8</v>
      </c>
      <c r="H11" s="20" t="n">
        <f aca="false">D11*SUM($C$5:$C$7)</f>
        <v>51</v>
      </c>
    </row>
    <row r="12" customFormat="false" ht="15" hidden="false" customHeight="false" outlineLevel="0" collapsed="false">
      <c r="A12" s="31" t="str">
        <f aca="false">물고기!B7</f>
        <v>잉어</v>
      </c>
      <c r="B12" s="31" t="n">
        <f aca="false">물고기!E7</f>
        <v>30</v>
      </c>
      <c r="C12" s="31" t="n">
        <f aca="false">물고기!F7</f>
        <v>80</v>
      </c>
      <c r="D12" s="5" t="n">
        <f aca="false">물고기!G7</f>
        <v>60</v>
      </c>
      <c r="E12" s="27" t="n">
        <f aca="false">ROUND(B12+(C12-B12)*$B$5,1)</f>
        <v>65</v>
      </c>
      <c r="F12" s="27" t="n">
        <f aca="false">ROUND(B12+(C12-B12)*$B$6,1)</f>
        <v>72.5</v>
      </c>
      <c r="G12" s="27" t="n">
        <f aca="false">ROUND(B12+(C12-B12)*$B$7,1)</f>
        <v>77.5</v>
      </c>
      <c r="H12" s="20" t="n">
        <f aca="false">D12*SUM($C$5:$C$7)</f>
        <v>102</v>
      </c>
    </row>
    <row r="13" customFormat="false" ht="15" hidden="false" customHeight="false" outlineLevel="0" collapsed="false">
      <c r="A13" s="31" t="str">
        <f aca="false">물고기!B8</f>
        <v>피라미</v>
      </c>
      <c r="B13" s="31" t="n">
        <f aca="false">물고기!E8</f>
        <v>6</v>
      </c>
      <c r="C13" s="31" t="n">
        <f aca="false">물고기!F8</f>
        <v>15</v>
      </c>
      <c r="D13" s="5" t="n">
        <f aca="false">물고기!G8</f>
        <v>6</v>
      </c>
      <c r="E13" s="27" t="n">
        <f aca="false">ROUND(B13+(C13-B13)*$B$5,1)</f>
        <v>12.3</v>
      </c>
      <c r="F13" s="27" t="n">
        <f aca="false">ROUND(B13+(C13-B13)*$B$6,1)</f>
        <v>13.7</v>
      </c>
      <c r="G13" s="27" t="n">
        <f aca="false">ROUND(B13+(C13-B13)*$B$7,1)</f>
        <v>14.6</v>
      </c>
      <c r="H13" s="20" t="n">
        <f aca="false">D13*SUM($C$5:$C$7)</f>
        <v>10.2</v>
      </c>
    </row>
    <row r="14" customFormat="false" ht="15" hidden="false" customHeight="false" outlineLevel="0" collapsed="false">
      <c r="A14" s="31" t="str">
        <f aca="false">물고기!B9</f>
        <v>메기</v>
      </c>
      <c r="B14" s="31" t="n">
        <f aca="false">물고기!E9</f>
        <v>30</v>
      </c>
      <c r="C14" s="31" t="n">
        <f aca="false">물고기!F9</f>
        <v>90</v>
      </c>
      <c r="D14" s="5" t="n">
        <f aca="false">물고기!G9</f>
        <v>70</v>
      </c>
      <c r="E14" s="27" t="n">
        <f aca="false">ROUND(B14+(C14-B14)*$B$5,1)</f>
        <v>72</v>
      </c>
      <c r="F14" s="27" t="n">
        <f aca="false">ROUND(B14+(C14-B14)*$B$6,1)</f>
        <v>81</v>
      </c>
      <c r="G14" s="27" t="n">
        <f aca="false">ROUND(B14+(C14-B14)*$B$7,1)</f>
        <v>87</v>
      </c>
      <c r="H14" s="20" t="n">
        <f aca="false">D14*SUM($C$5:$C$7)</f>
        <v>119</v>
      </c>
    </row>
    <row r="15" customFormat="false" ht="15" hidden="false" customHeight="false" outlineLevel="0" collapsed="false">
      <c r="A15" s="31" t="str">
        <f aca="false">물고기!B10</f>
        <v>쏘가리</v>
      </c>
      <c r="B15" s="31" t="n">
        <f aca="false">물고기!E10</f>
        <v>20</v>
      </c>
      <c r="C15" s="31" t="n">
        <f aca="false">물고기!F10</f>
        <v>55</v>
      </c>
      <c r="D15" s="5" t="n">
        <f aca="false">물고기!G10</f>
        <v>160</v>
      </c>
      <c r="E15" s="27" t="n">
        <f aca="false">ROUND(B15+(C15-B15)*$B$5,1)</f>
        <v>44.5</v>
      </c>
      <c r="F15" s="27" t="n">
        <f aca="false">ROUND(B15+(C15-B15)*$B$6,1)</f>
        <v>49.8</v>
      </c>
      <c r="G15" s="27" t="n">
        <f aca="false">ROUND(B15+(C15-B15)*$B$7,1)</f>
        <v>53.3</v>
      </c>
      <c r="H15" s="20" t="n">
        <f aca="false">D15*SUM($C$5:$C$7)</f>
        <v>272</v>
      </c>
    </row>
    <row r="16" customFormat="false" ht="15" hidden="false" customHeight="false" outlineLevel="0" collapsed="false">
      <c r="A16" s="31" t="str">
        <f aca="false">물고기!B11</f>
        <v>민물장어</v>
      </c>
      <c r="B16" s="31" t="n">
        <f aca="false">물고기!E11</f>
        <v>40</v>
      </c>
      <c r="C16" s="31" t="n">
        <f aca="false">물고기!F11</f>
        <v>100</v>
      </c>
      <c r="D16" s="5" t="n">
        <f aca="false">물고기!G11</f>
        <v>400</v>
      </c>
      <c r="E16" s="27" t="n">
        <f aca="false">ROUND(B16+(C16-B16)*$B$5,1)</f>
        <v>82</v>
      </c>
      <c r="F16" s="27" t="n">
        <f aca="false">ROUND(B16+(C16-B16)*$B$6,1)</f>
        <v>91</v>
      </c>
      <c r="G16" s="27" t="n">
        <f aca="false">ROUND(B16+(C16-B16)*$B$7,1)</f>
        <v>97</v>
      </c>
      <c r="H16" s="20" t="n">
        <f aca="false">D16*SUM($C$5:$C$7)</f>
        <v>680</v>
      </c>
    </row>
    <row r="17" customFormat="false" ht="15" hidden="false" customHeight="false" outlineLevel="0" collapsed="false">
      <c r="A17" s="31" t="str">
        <f aca="false">물고기!B12</f>
        <v>철갑상어</v>
      </c>
      <c r="B17" s="31" t="n">
        <f aca="false">물고기!E12</f>
        <v>80</v>
      </c>
      <c r="C17" s="31" t="n">
        <f aca="false">물고기!F12</f>
        <v>200</v>
      </c>
      <c r="D17" s="5" t="n">
        <f aca="false">물고기!G12</f>
        <v>1800</v>
      </c>
      <c r="E17" s="27" t="n">
        <f aca="false">ROUND(B17+(C17-B17)*$B$5,1)</f>
        <v>164</v>
      </c>
      <c r="F17" s="27" t="n">
        <f aca="false">ROUND(B17+(C17-B17)*$B$6,1)</f>
        <v>182</v>
      </c>
      <c r="G17" s="27" t="n">
        <f aca="false">ROUND(B17+(C17-B17)*$B$7,1)</f>
        <v>194</v>
      </c>
      <c r="H17" s="20" t="n">
        <f aca="false">D17*SUM($C$5:$C$7)</f>
        <v>3060</v>
      </c>
    </row>
    <row r="18" customFormat="false" ht="15" hidden="false" customHeight="false" outlineLevel="0" collapsed="false">
      <c r="A18" s="31" t="str">
        <f aca="false">물고기!B13</f>
        <v>망둥어</v>
      </c>
      <c r="B18" s="31" t="n">
        <f aca="false">물고기!E13</f>
        <v>8</v>
      </c>
      <c r="C18" s="31" t="n">
        <f aca="false">물고기!F13</f>
        <v>25</v>
      </c>
      <c r="D18" s="5" t="n">
        <f aca="false">물고기!G13</f>
        <v>15</v>
      </c>
      <c r="E18" s="27" t="n">
        <f aca="false">ROUND(B18+(C18-B18)*$B$5,1)</f>
        <v>19.9</v>
      </c>
      <c r="F18" s="27" t="n">
        <f aca="false">ROUND(B18+(C18-B18)*$B$6,1)</f>
        <v>22.5</v>
      </c>
      <c r="G18" s="27" t="n">
        <f aca="false">ROUND(B18+(C18-B18)*$B$7,1)</f>
        <v>24.2</v>
      </c>
      <c r="H18" s="20" t="n">
        <f aca="false">D18*SUM($C$5:$C$7)</f>
        <v>25.5</v>
      </c>
    </row>
    <row r="19" customFormat="false" ht="15" hidden="false" customHeight="false" outlineLevel="0" collapsed="false">
      <c r="A19" s="31" t="str">
        <f aca="false">물고기!B14</f>
        <v>전갱이</v>
      </c>
      <c r="B19" s="31" t="n">
        <f aca="false">물고기!E14</f>
        <v>15</v>
      </c>
      <c r="C19" s="31" t="n">
        <f aca="false">물고기!F14</f>
        <v>40</v>
      </c>
      <c r="D19" s="5" t="n">
        <f aca="false">물고기!G14</f>
        <v>35</v>
      </c>
      <c r="E19" s="27" t="n">
        <f aca="false">ROUND(B19+(C19-B19)*$B$5,1)</f>
        <v>32.5</v>
      </c>
      <c r="F19" s="27" t="n">
        <f aca="false">ROUND(B19+(C19-B19)*$B$6,1)</f>
        <v>36.3</v>
      </c>
      <c r="G19" s="27" t="n">
        <f aca="false">ROUND(B19+(C19-B19)*$B$7,1)</f>
        <v>38.8</v>
      </c>
      <c r="H19" s="20" t="n">
        <f aca="false">D19*SUM($C$5:$C$7)</f>
        <v>59.5</v>
      </c>
    </row>
    <row r="20" customFormat="false" ht="15" hidden="false" customHeight="false" outlineLevel="0" collapsed="false">
      <c r="A20" s="31" t="str">
        <f aca="false">물고기!B15</f>
        <v>고등어</v>
      </c>
      <c r="B20" s="31" t="n">
        <f aca="false">물고기!E15</f>
        <v>25</v>
      </c>
      <c r="C20" s="31" t="n">
        <f aca="false">물고기!F15</f>
        <v>50</v>
      </c>
      <c r="D20" s="5" t="n">
        <f aca="false">물고기!G15</f>
        <v>60</v>
      </c>
      <c r="E20" s="27" t="n">
        <f aca="false">ROUND(B20+(C20-B20)*$B$5,1)</f>
        <v>42.5</v>
      </c>
      <c r="F20" s="27" t="n">
        <f aca="false">ROUND(B20+(C20-B20)*$B$6,1)</f>
        <v>46.3</v>
      </c>
      <c r="G20" s="27" t="n">
        <f aca="false">ROUND(B20+(C20-B20)*$B$7,1)</f>
        <v>48.8</v>
      </c>
      <c r="H20" s="20" t="n">
        <f aca="false">D20*SUM($C$5:$C$7)</f>
        <v>102</v>
      </c>
    </row>
    <row r="21" customFormat="false" ht="15" hidden="false" customHeight="false" outlineLevel="0" collapsed="false">
      <c r="A21" s="31" t="str">
        <f aca="false">물고기!B16</f>
        <v>우럭</v>
      </c>
      <c r="B21" s="31" t="n">
        <f aca="false">물고기!E16</f>
        <v>20</v>
      </c>
      <c r="C21" s="31" t="n">
        <f aca="false">물고기!F16</f>
        <v>50</v>
      </c>
      <c r="D21" s="5" t="n">
        <f aca="false">물고기!G16</f>
        <v>150</v>
      </c>
      <c r="E21" s="27" t="n">
        <f aca="false">ROUND(B21+(C21-B21)*$B$5,1)</f>
        <v>41</v>
      </c>
      <c r="F21" s="27" t="n">
        <f aca="false">ROUND(B21+(C21-B21)*$B$6,1)</f>
        <v>45.5</v>
      </c>
      <c r="G21" s="27" t="n">
        <f aca="false">ROUND(B21+(C21-B21)*$B$7,1)</f>
        <v>48.5</v>
      </c>
      <c r="H21" s="20" t="n">
        <f aca="false">D21*SUM($C$5:$C$7)</f>
        <v>255</v>
      </c>
    </row>
    <row r="22" customFormat="false" ht="15" hidden="false" customHeight="false" outlineLevel="0" collapsed="false">
      <c r="A22" s="31" t="str">
        <f aca="false">물고기!B17</f>
        <v>감성돔</v>
      </c>
      <c r="B22" s="31" t="n">
        <f aca="false">물고기!E17</f>
        <v>25</v>
      </c>
      <c r="C22" s="31" t="n">
        <f aca="false">물고기!F17</f>
        <v>60</v>
      </c>
      <c r="D22" s="5" t="n">
        <f aca="false">물고기!G17</f>
        <v>450</v>
      </c>
      <c r="E22" s="27" t="n">
        <f aca="false">ROUND(B22+(C22-B22)*$B$5,1)</f>
        <v>49.5</v>
      </c>
      <c r="F22" s="27" t="n">
        <f aca="false">ROUND(B22+(C22-B22)*$B$6,1)</f>
        <v>54.8</v>
      </c>
      <c r="G22" s="27" t="n">
        <f aca="false">ROUND(B22+(C22-B22)*$B$7,1)</f>
        <v>58.3</v>
      </c>
      <c r="H22" s="20" t="n">
        <f aca="false">D22*SUM($C$5:$C$7)</f>
        <v>765</v>
      </c>
    </row>
    <row r="23" customFormat="false" ht="15" hidden="false" customHeight="false" outlineLevel="0" collapsed="false">
      <c r="A23" s="31" t="str">
        <f aca="false">물고기!B18</f>
        <v>농어</v>
      </c>
      <c r="B23" s="31" t="n">
        <f aca="false">물고기!E18</f>
        <v>40</v>
      </c>
      <c r="C23" s="31" t="n">
        <f aca="false">물고기!F18</f>
        <v>100</v>
      </c>
      <c r="D23" s="5" t="n">
        <f aca="false">물고기!G18</f>
        <v>650</v>
      </c>
      <c r="E23" s="27" t="n">
        <f aca="false">ROUND(B23+(C23-B23)*$B$5,1)</f>
        <v>82</v>
      </c>
      <c r="F23" s="27" t="n">
        <f aca="false">ROUND(B23+(C23-B23)*$B$6,1)</f>
        <v>91</v>
      </c>
      <c r="G23" s="27" t="n">
        <f aca="false">ROUND(B23+(C23-B23)*$B$7,1)</f>
        <v>97</v>
      </c>
      <c r="H23" s="20" t="n">
        <f aca="false">D23*SUM($C$5:$C$7)</f>
        <v>1105</v>
      </c>
    </row>
    <row r="24" customFormat="false" ht="15" hidden="false" customHeight="false" outlineLevel="0" collapsed="false">
      <c r="A24" s="31" t="str">
        <f aca="false">물고기!B19</f>
        <v>벵에돔</v>
      </c>
      <c r="B24" s="31" t="n">
        <f aca="false">물고기!E19</f>
        <v>25</v>
      </c>
      <c r="C24" s="31" t="n">
        <f aca="false">물고기!F19</f>
        <v>55</v>
      </c>
      <c r="D24" s="5" t="n">
        <f aca="false">물고기!G19</f>
        <v>550</v>
      </c>
      <c r="E24" s="27" t="n">
        <f aca="false">ROUND(B24+(C24-B24)*$B$5,1)</f>
        <v>46</v>
      </c>
      <c r="F24" s="27" t="n">
        <f aca="false">ROUND(B24+(C24-B24)*$B$6,1)</f>
        <v>50.5</v>
      </c>
      <c r="G24" s="27" t="n">
        <f aca="false">ROUND(B24+(C24-B24)*$B$7,1)</f>
        <v>53.5</v>
      </c>
      <c r="H24" s="20" t="n">
        <f aca="false">D24*SUM($C$5:$C$7)</f>
        <v>935</v>
      </c>
    </row>
    <row r="25" customFormat="false" ht="15" hidden="false" customHeight="false" outlineLevel="0" collapsed="false">
      <c r="A25" s="31" t="str">
        <f aca="false">물고기!B20</f>
        <v>돌돔</v>
      </c>
      <c r="B25" s="31" t="n">
        <f aca="false">물고기!E20</f>
        <v>30</v>
      </c>
      <c r="C25" s="31" t="n">
        <f aca="false">물고기!F20</f>
        <v>70</v>
      </c>
      <c r="D25" s="5" t="n">
        <f aca="false">물고기!G20</f>
        <v>1600</v>
      </c>
      <c r="E25" s="27" t="n">
        <f aca="false">ROUND(B25+(C25-B25)*$B$5,1)</f>
        <v>58</v>
      </c>
      <c r="F25" s="27" t="n">
        <f aca="false">ROUND(B25+(C25-B25)*$B$6,1)</f>
        <v>64</v>
      </c>
      <c r="G25" s="27" t="n">
        <f aca="false">ROUND(B25+(C25-B25)*$B$7,1)</f>
        <v>68</v>
      </c>
      <c r="H25" s="20" t="n">
        <f aca="false">D25*SUM($C$5:$C$7)</f>
        <v>2720</v>
      </c>
    </row>
    <row r="26" customFormat="false" ht="15" hidden="false" customHeight="false" outlineLevel="0" collapsed="false">
      <c r="A26" s="31" t="str">
        <f aca="false">물고기!B21</f>
        <v>갈치</v>
      </c>
      <c r="B26" s="31" t="n">
        <f aca="false">물고기!E21</f>
        <v>60</v>
      </c>
      <c r="C26" s="31" t="n">
        <f aca="false">물고기!F21</f>
        <v>150</v>
      </c>
      <c r="D26" s="5" t="n">
        <f aca="false">물고기!G21</f>
        <v>180</v>
      </c>
      <c r="E26" s="27" t="n">
        <f aca="false">ROUND(B26+(C26-B26)*$B$5,1)</f>
        <v>123</v>
      </c>
      <c r="F26" s="27" t="n">
        <f aca="false">ROUND(B26+(C26-B26)*$B$6,1)</f>
        <v>136.5</v>
      </c>
      <c r="G26" s="27" t="n">
        <f aca="false">ROUND(B26+(C26-B26)*$B$7,1)</f>
        <v>145.5</v>
      </c>
      <c r="H26" s="20" t="n">
        <f aca="false">D26*SUM($C$5:$C$7)</f>
        <v>306</v>
      </c>
    </row>
    <row r="27" customFormat="false" ht="15" hidden="false" customHeight="false" outlineLevel="0" collapsed="false">
      <c r="A27" s="31" t="str">
        <f aca="false">물고기!B22</f>
        <v>광어</v>
      </c>
      <c r="B27" s="31" t="n">
        <f aca="false">물고기!E22</f>
        <v>35</v>
      </c>
      <c r="C27" s="31" t="n">
        <f aca="false">물고기!F22</f>
        <v>90</v>
      </c>
      <c r="D27" s="5" t="n">
        <f aca="false">물고기!G22</f>
        <v>450</v>
      </c>
      <c r="E27" s="27" t="n">
        <f aca="false">ROUND(B27+(C27-B27)*$B$5,1)</f>
        <v>73.5</v>
      </c>
      <c r="F27" s="27" t="n">
        <f aca="false">ROUND(B27+(C27-B27)*$B$6,1)</f>
        <v>81.8</v>
      </c>
      <c r="G27" s="27" t="n">
        <f aca="false">ROUND(B27+(C27-B27)*$B$7,1)</f>
        <v>87.3</v>
      </c>
      <c r="H27" s="20" t="n">
        <f aca="false">D27*SUM($C$5:$C$7)</f>
        <v>765</v>
      </c>
    </row>
    <row r="28" customFormat="false" ht="15" hidden="false" customHeight="false" outlineLevel="0" collapsed="false">
      <c r="A28" s="31" t="str">
        <f aca="false">물고기!B23</f>
        <v>참돔</v>
      </c>
      <c r="B28" s="31" t="n">
        <f aca="false">물고기!E23</f>
        <v>30</v>
      </c>
      <c r="C28" s="31" t="n">
        <f aca="false">물고기!F23</f>
        <v>90</v>
      </c>
      <c r="D28" s="5" t="n">
        <f aca="false">물고기!G23</f>
        <v>900</v>
      </c>
      <c r="E28" s="27" t="n">
        <f aca="false">ROUND(B28+(C28-B28)*$B$5,1)</f>
        <v>72</v>
      </c>
      <c r="F28" s="27" t="n">
        <f aca="false">ROUND(B28+(C28-B28)*$B$6,1)</f>
        <v>81</v>
      </c>
      <c r="G28" s="27" t="n">
        <f aca="false">ROUND(B28+(C28-B28)*$B$7,1)</f>
        <v>87</v>
      </c>
      <c r="H28" s="20" t="n">
        <f aca="false">D28*SUM($C$5:$C$7)</f>
        <v>1530</v>
      </c>
    </row>
    <row r="29" customFormat="false" ht="15" hidden="false" customHeight="false" outlineLevel="0" collapsed="false">
      <c r="A29" s="31" t="str">
        <f aca="false">물고기!B24</f>
        <v>방어</v>
      </c>
      <c r="B29" s="31" t="n">
        <f aca="false">물고기!E24</f>
        <v>50</v>
      </c>
      <c r="C29" s="31" t="n">
        <f aca="false">물고기!F24</f>
        <v>110</v>
      </c>
      <c r="D29" s="5" t="n">
        <f aca="false">물고기!G24</f>
        <v>1400</v>
      </c>
      <c r="E29" s="27" t="n">
        <f aca="false">ROUND(B29+(C29-B29)*$B$5,1)</f>
        <v>92</v>
      </c>
      <c r="F29" s="27" t="n">
        <f aca="false">ROUND(B29+(C29-B29)*$B$6,1)</f>
        <v>101</v>
      </c>
      <c r="G29" s="27" t="n">
        <f aca="false">ROUND(B29+(C29-B29)*$B$7,1)</f>
        <v>107</v>
      </c>
      <c r="H29" s="20" t="n">
        <f aca="false">D29*SUM($C$5:$C$7)</f>
        <v>2380</v>
      </c>
    </row>
    <row r="30" customFormat="false" ht="15" hidden="false" customHeight="false" outlineLevel="0" collapsed="false">
      <c r="A30" s="31" t="str">
        <f aca="false">물고기!B25</f>
        <v>부시리</v>
      </c>
      <c r="B30" s="31" t="n">
        <f aca="false">물고기!E25</f>
        <v>60</v>
      </c>
      <c r="C30" s="31" t="n">
        <f aca="false">물고기!F25</f>
        <v>140</v>
      </c>
      <c r="D30" s="5" t="n">
        <f aca="false">물고기!G25</f>
        <v>2200</v>
      </c>
      <c r="E30" s="27" t="n">
        <f aca="false">ROUND(B30+(C30-B30)*$B$5,1)</f>
        <v>116</v>
      </c>
      <c r="F30" s="27" t="n">
        <f aca="false">ROUND(B30+(C30-B30)*$B$6,1)</f>
        <v>128</v>
      </c>
      <c r="G30" s="27" t="n">
        <f aca="false">ROUND(B30+(C30-B30)*$B$7,1)</f>
        <v>136</v>
      </c>
      <c r="H30" s="20" t="n">
        <f aca="false">D30*SUM($C$5:$C$7)</f>
        <v>3740</v>
      </c>
    </row>
    <row r="31" customFormat="false" ht="15" hidden="false" customHeight="false" outlineLevel="0" collapsed="false">
      <c r="A31" s="31" t="str">
        <f aca="false">물고기!B26</f>
        <v>참다랑어</v>
      </c>
      <c r="B31" s="31" t="n">
        <f aca="false">물고기!E26</f>
        <v>100</v>
      </c>
      <c r="C31" s="31" t="n">
        <f aca="false">물고기!F26</f>
        <v>280</v>
      </c>
      <c r="D31" s="5" t="n">
        <f aca="false">물고기!G26</f>
        <v>9000</v>
      </c>
      <c r="E31" s="27" t="n">
        <f aca="false">ROUND(B31+(C31-B31)*$B$5,1)</f>
        <v>226</v>
      </c>
      <c r="F31" s="27" t="n">
        <f aca="false">ROUND(B31+(C31-B31)*$B$6,1)</f>
        <v>253</v>
      </c>
      <c r="G31" s="27" t="n">
        <f aca="false">ROUND(B31+(C31-B31)*$B$7,1)</f>
        <v>271</v>
      </c>
      <c r="H31" s="20" t="n">
        <f aca="false">D31*SUM($C$5:$C$7)</f>
        <v>15300</v>
      </c>
    </row>
    <row r="32" customFormat="false" ht="15" hidden="false" customHeight="false" outlineLevel="0" collapsed="false">
      <c r="A32" s="31" t="str">
        <f aca="false">물고기!B27</f>
        <v>버들치</v>
      </c>
      <c r="B32" s="31" t="n">
        <f aca="false">물고기!E27</f>
        <v>5</v>
      </c>
      <c r="C32" s="31" t="n">
        <f aca="false">물고기!F27</f>
        <v>12</v>
      </c>
      <c r="D32" s="5" t="n">
        <f aca="false">물고기!G27</f>
        <v>8</v>
      </c>
      <c r="E32" s="27" t="n">
        <f aca="false">ROUND(B32+(C32-B32)*$B$5,1)</f>
        <v>9.9</v>
      </c>
      <c r="F32" s="27" t="n">
        <f aca="false">ROUND(B32+(C32-B32)*$B$6,1)</f>
        <v>11</v>
      </c>
      <c r="G32" s="27" t="n">
        <f aca="false">ROUND(B32+(C32-B32)*$B$7,1)</f>
        <v>11.7</v>
      </c>
      <c r="H32" s="20" t="n">
        <f aca="false">D32*SUM($C$5:$C$7)</f>
        <v>13.6</v>
      </c>
    </row>
    <row r="33" customFormat="false" ht="15" hidden="false" customHeight="false" outlineLevel="0" collapsed="false">
      <c r="A33" s="31" t="str">
        <f aca="false">물고기!B28</f>
        <v>갈겨니</v>
      </c>
      <c r="B33" s="31" t="n">
        <f aca="false">물고기!E28</f>
        <v>8</v>
      </c>
      <c r="C33" s="31" t="n">
        <f aca="false">물고기!F28</f>
        <v>18</v>
      </c>
      <c r="D33" s="5" t="n">
        <f aca="false">물고기!G28</f>
        <v>12</v>
      </c>
      <c r="E33" s="27" t="n">
        <f aca="false">ROUND(B33+(C33-B33)*$B$5,1)</f>
        <v>15</v>
      </c>
      <c r="F33" s="27" t="n">
        <f aca="false">ROUND(B33+(C33-B33)*$B$6,1)</f>
        <v>16.5</v>
      </c>
      <c r="G33" s="27" t="n">
        <f aca="false">ROUND(B33+(C33-B33)*$B$7,1)</f>
        <v>17.5</v>
      </c>
      <c r="H33" s="20" t="n">
        <f aca="false">D33*SUM($C$5:$C$7)</f>
        <v>20.4</v>
      </c>
    </row>
    <row r="34" customFormat="false" ht="15" hidden="false" customHeight="false" outlineLevel="0" collapsed="false">
      <c r="A34" s="31" t="str">
        <f aca="false">물고기!B29</f>
        <v>모래무지</v>
      </c>
      <c r="B34" s="31" t="n">
        <f aca="false">물고기!E29</f>
        <v>10</v>
      </c>
      <c r="C34" s="31" t="n">
        <f aca="false">물고기!F29</f>
        <v>25</v>
      </c>
      <c r="D34" s="5" t="n">
        <f aca="false">물고기!G29</f>
        <v>25</v>
      </c>
      <c r="E34" s="27" t="n">
        <f aca="false">ROUND(B34+(C34-B34)*$B$5,1)</f>
        <v>20.5</v>
      </c>
      <c r="F34" s="27" t="n">
        <f aca="false">ROUND(B34+(C34-B34)*$B$6,1)</f>
        <v>22.8</v>
      </c>
      <c r="G34" s="27" t="n">
        <f aca="false">ROUND(B34+(C34-B34)*$B$7,1)</f>
        <v>24.3</v>
      </c>
      <c r="H34" s="20" t="n">
        <f aca="false">D34*SUM($C$5:$C$7)</f>
        <v>42.5</v>
      </c>
    </row>
    <row r="35" customFormat="false" ht="15" hidden="false" customHeight="false" outlineLevel="0" collapsed="false">
      <c r="A35" s="31" t="str">
        <f aca="false">물고기!B30</f>
        <v>꺽지</v>
      </c>
      <c r="B35" s="31" t="n">
        <f aca="false">물고기!E30</f>
        <v>10</v>
      </c>
      <c r="C35" s="31" t="n">
        <f aca="false">물고기!F30</f>
        <v>25</v>
      </c>
      <c r="D35" s="5" t="n">
        <f aca="false">물고기!G30</f>
        <v>70</v>
      </c>
      <c r="E35" s="27" t="n">
        <f aca="false">ROUND(B35+(C35-B35)*$B$5,1)</f>
        <v>20.5</v>
      </c>
      <c r="F35" s="27" t="n">
        <f aca="false">ROUND(B35+(C35-B35)*$B$6,1)</f>
        <v>22.8</v>
      </c>
      <c r="G35" s="27" t="n">
        <f aca="false">ROUND(B35+(C35-B35)*$B$7,1)</f>
        <v>24.3</v>
      </c>
      <c r="H35" s="20" t="n">
        <f aca="false">D35*SUM($C$5:$C$7)</f>
        <v>119</v>
      </c>
    </row>
    <row r="36" customFormat="false" ht="15" hidden="false" customHeight="false" outlineLevel="0" collapsed="false">
      <c r="A36" s="31" t="str">
        <f aca="false">물고기!B31</f>
        <v>은어</v>
      </c>
      <c r="B36" s="31" t="n">
        <f aca="false">물고기!E31</f>
        <v>12</v>
      </c>
      <c r="C36" s="31" t="n">
        <f aca="false">물고기!F31</f>
        <v>28</v>
      </c>
      <c r="D36" s="5" t="n">
        <f aca="false">물고기!G31</f>
        <v>150</v>
      </c>
      <c r="E36" s="27" t="n">
        <f aca="false">ROUND(B36+(C36-B36)*$B$5,1)</f>
        <v>23.2</v>
      </c>
      <c r="F36" s="27" t="n">
        <f aca="false">ROUND(B36+(C36-B36)*$B$6,1)</f>
        <v>25.6</v>
      </c>
      <c r="G36" s="27" t="n">
        <f aca="false">ROUND(B36+(C36-B36)*$B$7,1)</f>
        <v>27.2</v>
      </c>
      <c r="H36" s="20" t="n">
        <f aca="false">D36*SUM($C$5:$C$7)</f>
        <v>255</v>
      </c>
    </row>
    <row r="37" customFormat="false" ht="15" hidden="false" customHeight="false" outlineLevel="0" collapsed="false">
      <c r="A37" s="31" t="str">
        <f aca="false">물고기!B32</f>
        <v>볼락</v>
      </c>
      <c r="B37" s="31" t="n">
        <f aca="false">물고기!E32</f>
        <v>15</v>
      </c>
      <c r="C37" s="31" t="n">
        <f aca="false">물고기!F32</f>
        <v>30</v>
      </c>
      <c r="D37" s="5" t="n">
        <f aca="false">물고기!G32</f>
        <v>120</v>
      </c>
      <c r="E37" s="27" t="n">
        <f aca="false">ROUND(B37+(C37-B37)*$B$5,1)</f>
        <v>25.5</v>
      </c>
      <c r="F37" s="27" t="n">
        <f aca="false">ROUND(B37+(C37-B37)*$B$6,1)</f>
        <v>27.8</v>
      </c>
      <c r="G37" s="27" t="n">
        <f aca="false">ROUND(B37+(C37-B37)*$B$7,1)</f>
        <v>29.3</v>
      </c>
      <c r="H37" s="20" t="n">
        <f aca="false">D37*SUM($C$5:$C$7)</f>
        <v>204</v>
      </c>
    </row>
    <row r="38" customFormat="false" ht="15" hidden="false" customHeight="false" outlineLevel="0" collapsed="false">
      <c r="A38" s="31" t="str">
        <f aca="false">물고기!B33</f>
        <v>쥐노래미</v>
      </c>
      <c r="B38" s="31" t="n">
        <f aca="false">물고기!E33</f>
        <v>20</v>
      </c>
      <c r="C38" s="31" t="n">
        <f aca="false">물고기!F33</f>
        <v>45</v>
      </c>
      <c r="D38" s="5" t="n">
        <f aca="false">물고기!G33</f>
        <v>180</v>
      </c>
      <c r="E38" s="27" t="n">
        <f aca="false">ROUND(B38+(C38-B38)*$B$5,1)</f>
        <v>37.5</v>
      </c>
      <c r="F38" s="27" t="n">
        <f aca="false">ROUND(B38+(C38-B38)*$B$6,1)</f>
        <v>41.3</v>
      </c>
      <c r="G38" s="27" t="n">
        <f aca="false">ROUND(B38+(C38-B38)*$B$7,1)</f>
        <v>43.8</v>
      </c>
      <c r="H38" s="20" t="n">
        <f aca="false">D38*SUM($C$5:$C$7)</f>
        <v>306</v>
      </c>
    </row>
    <row r="39" customFormat="false" ht="15" hidden="false" customHeight="false" outlineLevel="0" collapsed="false">
      <c r="A39" s="31" t="str">
        <f aca="false">물고기!B34</f>
        <v>혹돔</v>
      </c>
      <c r="B39" s="31" t="n">
        <f aca="false">물고기!E34</f>
        <v>40</v>
      </c>
      <c r="C39" s="31" t="n">
        <f aca="false">물고기!F34</f>
        <v>90</v>
      </c>
      <c r="D39" s="5" t="n">
        <f aca="false">물고기!G34</f>
        <v>1800</v>
      </c>
      <c r="E39" s="27" t="n">
        <f aca="false">ROUND(B39+(C39-B39)*$B$5,1)</f>
        <v>75</v>
      </c>
      <c r="F39" s="27" t="n">
        <f aca="false">ROUND(B39+(C39-B39)*$B$6,1)</f>
        <v>82.5</v>
      </c>
      <c r="G39" s="27" t="n">
        <f aca="false">ROUND(B39+(C39-B39)*$B$7,1)</f>
        <v>87.5</v>
      </c>
      <c r="H39" s="20" t="n">
        <f aca="false">D39*SUM($C$5:$C$7)</f>
        <v>3060</v>
      </c>
    </row>
    <row r="40" customFormat="false" ht="15" hidden="false" customHeight="false" outlineLevel="0" collapsed="false">
      <c r="A40" s="31" t="str">
        <f aca="false">물고기!B35</f>
        <v>피라냐</v>
      </c>
      <c r="B40" s="31" t="n">
        <f aca="false">물고기!E35</f>
        <v>15</v>
      </c>
      <c r="C40" s="31" t="n">
        <f aca="false">물고기!F35</f>
        <v>35</v>
      </c>
      <c r="D40" s="5" t="n">
        <f aca="false">물고기!G35</f>
        <v>300</v>
      </c>
      <c r="E40" s="27" t="n">
        <f aca="false">ROUND(B40+(C40-B40)*$B$5,1)</f>
        <v>29</v>
      </c>
      <c r="F40" s="27" t="n">
        <f aca="false">ROUND(B40+(C40-B40)*$B$6,1)</f>
        <v>32</v>
      </c>
      <c r="G40" s="27" t="n">
        <f aca="false">ROUND(B40+(C40-B40)*$B$7,1)</f>
        <v>34</v>
      </c>
      <c r="H40" s="20" t="n">
        <f aca="false">D40*SUM($C$5:$C$7)</f>
        <v>510</v>
      </c>
    </row>
    <row r="41" customFormat="false" ht="15" hidden="false" customHeight="false" outlineLevel="0" collapsed="false">
      <c r="A41" s="31" t="str">
        <f aca="false">물고기!B36</f>
        <v>파쿠</v>
      </c>
      <c r="B41" s="31" t="n">
        <f aca="false">물고기!E36</f>
        <v>30</v>
      </c>
      <c r="C41" s="31" t="n">
        <f aca="false">물고기!F36</f>
        <v>80</v>
      </c>
      <c r="D41" s="5" t="n">
        <f aca="false">물고기!G36</f>
        <v>700</v>
      </c>
      <c r="E41" s="27" t="n">
        <f aca="false">ROUND(B41+(C41-B41)*$B$5,1)</f>
        <v>65</v>
      </c>
      <c r="F41" s="27" t="n">
        <f aca="false">ROUND(B41+(C41-B41)*$B$6,1)</f>
        <v>72.5</v>
      </c>
      <c r="G41" s="27" t="n">
        <f aca="false">ROUND(B41+(C41-B41)*$B$7,1)</f>
        <v>77.5</v>
      </c>
      <c r="H41" s="20" t="n">
        <f aca="false">D41*SUM($C$5:$C$7)</f>
        <v>1190</v>
      </c>
    </row>
    <row r="42" customFormat="false" ht="15" hidden="false" customHeight="false" outlineLevel="0" collapsed="false">
      <c r="A42" s="31" t="str">
        <f aca="false">물고기!B37</f>
        <v>피콕배스</v>
      </c>
      <c r="B42" s="31" t="n">
        <f aca="false">물고기!E37</f>
        <v>30</v>
      </c>
      <c r="C42" s="31" t="n">
        <f aca="false">물고기!F37</f>
        <v>70</v>
      </c>
      <c r="D42" s="5" t="n">
        <f aca="false">물고기!G37</f>
        <v>1500</v>
      </c>
      <c r="E42" s="27" t="n">
        <f aca="false">ROUND(B42+(C42-B42)*$B$5,1)</f>
        <v>58</v>
      </c>
      <c r="F42" s="27" t="n">
        <f aca="false">ROUND(B42+(C42-B42)*$B$6,1)</f>
        <v>64</v>
      </c>
      <c r="G42" s="27" t="n">
        <f aca="false">ROUND(B42+(C42-B42)*$B$7,1)</f>
        <v>68</v>
      </c>
      <c r="H42" s="20" t="n">
        <f aca="false">D42*SUM($C$5:$C$7)</f>
        <v>2550</v>
      </c>
    </row>
    <row r="43" customFormat="false" ht="15" hidden="false" customHeight="false" outlineLevel="0" collapsed="false">
      <c r="A43" s="31" t="str">
        <f aca="false">물고기!B38</f>
        <v>레드테일 캣피시</v>
      </c>
      <c r="B43" s="31" t="n">
        <f aca="false">물고기!E38</f>
        <v>60</v>
      </c>
      <c r="C43" s="31" t="n">
        <f aca="false">물고기!F38</f>
        <v>140</v>
      </c>
      <c r="D43" s="5" t="n">
        <f aca="false">물고기!G38</f>
        <v>2600</v>
      </c>
      <c r="E43" s="27" t="n">
        <f aca="false">ROUND(B43+(C43-B43)*$B$5,1)</f>
        <v>116</v>
      </c>
      <c r="F43" s="27" t="n">
        <f aca="false">ROUND(B43+(C43-B43)*$B$6,1)</f>
        <v>128</v>
      </c>
      <c r="G43" s="27" t="n">
        <f aca="false">ROUND(B43+(C43-B43)*$B$7,1)</f>
        <v>136</v>
      </c>
      <c r="H43" s="20" t="n">
        <f aca="false">D43*SUM($C$5:$C$7)</f>
        <v>4420</v>
      </c>
    </row>
    <row r="44" customFormat="false" ht="15" hidden="false" customHeight="false" outlineLevel="0" collapsed="false">
      <c r="A44" s="31" t="str">
        <f aca="false">물고기!B39</f>
        <v>아로와나</v>
      </c>
      <c r="B44" s="31" t="n">
        <f aca="false">물고기!E39</f>
        <v>50</v>
      </c>
      <c r="C44" s="31" t="n">
        <f aca="false">물고기!F39</f>
        <v>100</v>
      </c>
      <c r="D44" s="5" t="n">
        <f aca="false">물고기!G39</f>
        <v>2800</v>
      </c>
      <c r="E44" s="27" t="n">
        <f aca="false">ROUND(B44+(C44-B44)*$B$5,1)</f>
        <v>85</v>
      </c>
      <c r="F44" s="27" t="n">
        <f aca="false">ROUND(B44+(C44-B44)*$B$6,1)</f>
        <v>92.5</v>
      </c>
      <c r="G44" s="27" t="n">
        <f aca="false">ROUND(B44+(C44-B44)*$B$7,1)</f>
        <v>97.5</v>
      </c>
      <c r="H44" s="20" t="n">
        <f aca="false">D44*SUM($C$5:$C$7)</f>
        <v>4760</v>
      </c>
    </row>
    <row r="45" customFormat="false" ht="15" hidden="false" customHeight="false" outlineLevel="0" collapsed="false">
      <c r="A45" s="31" t="str">
        <f aca="false">물고기!B40</f>
        <v>피라루쿠</v>
      </c>
      <c r="B45" s="31" t="n">
        <f aca="false">물고기!E40</f>
        <v>150</v>
      </c>
      <c r="C45" s="31" t="n">
        <f aca="false">물고기!F40</f>
        <v>300</v>
      </c>
      <c r="D45" s="5" t="n">
        <f aca="false">물고기!G40</f>
        <v>16000</v>
      </c>
      <c r="E45" s="27" t="n">
        <f aca="false">ROUND(B45+(C45-B45)*$B$5,1)</f>
        <v>255</v>
      </c>
      <c r="F45" s="27" t="n">
        <f aca="false">ROUND(B45+(C45-B45)*$B$6,1)</f>
        <v>277.5</v>
      </c>
      <c r="G45" s="27" t="n">
        <f aca="false">ROUND(B45+(C45-B45)*$B$7,1)</f>
        <v>292.5</v>
      </c>
      <c r="H45" s="20" t="n">
        <f aca="false">D45*SUM($C$5:$C$7)</f>
        <v>27200</v>
      </c>
    </row>
    <row r="46" customFormat="false" ht="15" hidden="false" customHeight="false" outlineLevel="0" collapsed="false">
      <c r="A46" s="31" t="str">
        <f aca="false">물고기!B41</f>
        <v>무지개송어</v>
      </c>
      <c r="B46" s="31" t="n">
        <f aca="false">물고기!E41</f>
        <v>30</v>
      </c>
      <c r="C46" s="31" t="n">
        <f aca="false">물고기!F41</f>
        <v>80</v>
      </c>
      <c r="D46" s="5" t="n">
        <f aca="false">물고기!G41</f>
        <v>1000</v>
      </c>
      <c r="E46" s="27" t="n">
        <f aca="false">ROUND(B46+(C46-B46)*$B$5,1)</f>
        <v>65</v>
      </c>
      <c r="F46" s="27" t="n">
        <f aca="false">ROUND(B46+(C46-B46)*$B$6,1)</f>
        <v>72.5</v>
      </c>
      <c r="G46" s="27" t="n">
        <f aca="false">ROUND(B46+(C46-B46)*$B$7,1)</f>
        <v>77.5</v>
      </c>
      <c r="H46" s="20" t="n">
        <f aca="false">D46*SUM($C$5:$C$7)</f>
        <v>1700</v>
      </c>
    </row>
    <row r="47" customFormat="false" ht="15" hidden="false" customHeight="false" outlineLevel="0" collapsed="false">
      <c r="A47" s="31" t="str">
        <f aca="false">물고기!B42</f>
        <v>홍연어</v>
      </c>
      <c r="B47" s="31" t="n">
        <f aca="false">물고기!E42</f>
        <v>45</v>
      </c>
      <c r="C47" s="31" t="n">
        <f aca="false">물고기!F42</f>
        <v>80</v>
      </c>
      <c r="D47" s="5" t="n">
        <f aca="false">물고기!G42</f>
        <v>1800</v>
      </c>
      <c r="E47" s="27" t="n">
        <f aca="false">ROUND(B47+(C47-B47)*$B$5,1)</f>
        <v>69.5</v>
      </c>
      <c r="F47" s="27" t="n">
        <f aca="false">ROUND(B47+(C47-B47)*$B$6,1)</f>
        <v>74.8</v>
      </c>
      <c r="G47" s="27" t="n">
        <f aca="false">ROUND(B47+(C47-B47)*$B$7,1)</f>
        <v>78.3</v>
      </c>
      <c r="H47" s="20" t="n">
        <f aca="false">D47*SUM($C$5:$C$7)</f>
        <v>3060</v>
      </c>
    </row>
    <row r="48" customFormat="false" ht="15" hidden="false" customHeight="false" outlineLevel="0" collapsed="false">
      <c r="A48" s="31" t="str">
        <f aca="false">물고기!B43</f>
        <v>북극곤들매기</v>
      </c>
      <c r="B48" s="31" t="n">
        <f aca="false">물고기!E43</f>
        <v>40</v>
      </c>
      <c r="C48" s="31" t="n">
        <f aca="false">물고기!F43</f>
        <v>80</v>
      </c>
      <c r="D48" s="5" t="n">
        <f aca="false">물고기!G43</f>
        <v>2400</v>
      </c>
      <c r="E48" s="27" t="n">
        <f aca="false">ROUND(B48+(C48-B48)*$B$5,1)</f>
        <v>68</v>
      </c>
      <c r="F48" s="27" t="n">
        <f aca="false">ROUND(B48+(C48-B48)*$B$6,1)</f>
        <v>74</v>
      </c>
      <c r="G48" s="27" t="n">
        <f aca="false">ROUND(B48+(C48-B48)*$B$7,1)</f>
        <v>78</v>
      </c>
      <c r="H48" s="20" t="n">
        <f aca="false">D48*SUM($C$5:$C$7)</f>
        <v>4080</v>
      </c>
    </row>
    <row r="49" customFormat="false" ht="15" hidden="false" customHeight="false" outlineLevel="0" collapsed="false">
      <c r="A49" s="31" t="str">
        <f aca="false">물고기!B44</f>
        <v>은연어</v>
      </c>
      <c r="B49" s="31" t="n">
        <f aca="false">물고기!E44</f>
        <v>50</v>
      </c>
      <c r="C49" s="31" t="n">
        <f aca="false">물고기!F44</f>
        <v>90</v>
      </c>
      <c r="D49" s="5" t="n">
        <f aca="false">물고기!G44</f>
        <v>2000</v>
      </c>
      <c r="E49" s="27" t="n">
        <f aca="false">ROUND(B49+(C49-B49)*$B$5,1)</f>
        <v>78</v>
      </c>
      <c r="F49" s="27" t="n">
        <f aca="false">ROUND(B49+(C49-B49)*$B$6,1)</f>
        <v>84</v>
      </c>
      <c r="G49" s="27" t="n">
        <f aca="false">ROUND(B49+(C49-B49)*$B$7,1)</f>
        <v>88</v>
      </c>
      <c r="H49" s="20" t="n">
        <f aca="false">D49*SUM($C$5:$C$7)</f>
        <v>3400</v>
      </c>
    </row>
    <row r="50" customFormat="false" ht="15" hidden="false" customHeight="false" outlineLevel="0" collapsed="false">
      <c r="A50" s="31" t="str">
        <f aca="false">물고기!B45</f>
        <v>링코드</v>
      </c>
      <c r="B50" s="31" t="n">
        <f aca="false">물고기!E45</f>
        <v>50</v>
      </c>
      <c r="C50" s="31" t="n">
        <f aca="false">물고기!F45</f>
        <v>120</v>
      </c>
      <c r="D50" s="5" t="n">
        <f aca="false">물고기!G45</f>
        <v>3500</v>
      </c>
      <c r="E50" s="27" t="n">
        <f aca="false">ROUND(B50+(C50-B50)*$B$5,1)</f>
        <v>99</v>
      </c>
      <c r="F50" s="27" t="n">
        <f aca="false">ROUND(B50+(C50-B50)*$B$6,1)</f>
        <v>109.5</v>
      </c>
      <c r="G50" s="27" t="n">
        <f aca="false">ROUND(B50+(C50-B50)*$B$7,1)</f>
        <v>116.5</v>
      </c>
      <c r="H50" s="20" t="n">
        <f aca="false">D50*SUM($C$5:$C$7)</f>
        <v>5950</v>
      </c>
    </row>
    <row r="51" customFormat="false" ht="15" hidden="false" customHeight="false" outlineLevel="0" collapsed="false">
      <c r="A51" s="31" t="str">
        <f aca="false">물고기!B46</f>
        <v>왕연어</v>
      </c>
      <c r="B51" s="31" t="n">
        <f aca="false">물고기!E46</f>
        <v>70</v>
      </c>
      <c r="C51" s="31" t="n">
        <f aca="false">물고기!F46</f>
        <v>140</v>
      </c>
      <c r="D51" s="5" t="n">
        <f aca="false">물고기!G46</f>
        <v>5000</v>
      </c>
      <c r="E51" s="27" t="n">
        <f aca="false">ROUND(B51+(C51-B51)*$B$5,1)</f>
        <v>119</v>
      </c>
      <c r="F51" s="27" t="n">
        <f aca="false">ROUND(B51+(C51-B51)*$B$6,1)</f>
        <v>129.5</v>
      </c>
      <c r="G51" s="27" t="n">
        <f aca="false">ROUND(B51+(C51-B51)*$B$7,1)</f>
        <v>136.5</v>
      </c>
      <c r="H51" s="20" t="n">
        <f aca="false">D51*SUM($C$5:$C$7)</f>
        <v>8500</v>
      </c>
    </row>
    <row r="52" customFormat="false" ht="15" hidden="false" customHeight="false" outlineLevel="0" collapsed="false">
      <c r="A52" s="31" t="str">
        <f aca="false">물고기!B47</f>
        <v>핼리벗</v>
      </c>
      <c r="B52" s="31" t="n">
        <f aca="false">물고기!E47</f>
        <v>80</v>
      </c>
      <c r="C52" s="31" t="n">
        <f aca="false">물고기!F47</f>
        <v>250</v>
      </c>
      <c r="D52" s="5" t="n">
        <f aca="false">물고기!G47</f>
        <v>14000</v>
      </c>
      <c r="E52" s="27" t="n">
        <f aca="false">ROUND(B52+(C52-B52)*$B$5,1)</f>
        <v>199</v>
      </c>
      <c r="F52" s="27" t="n">
        <f aca="false">ROUND(B52+(C52-B52)*$B$6,1)</f>
        <v>224.5</v>
      </c>
      <c r="G52" s="27" t="n">
        <f aca="false">ROUND(B52+(C52-B52)*$B$7,1)</f>
        <v>241.5</v>
      </c>
      <c r="H52" s="20" t="n">
        <f aca="false">D52*SUM($C$5:$C$7)</f>
        <v>23800</v>
      </c>
    </row>
    <row r="53" customFormat="false" ht="15" hidden="false" customHeight="false" outlineLevel="0" collapsed="false">
      <c r="A53" s="31" t="str">
        <f aca="false">물고기!B48</f>
        <v>황금 고등어</v>
      </c>
      <c r="B53" s="31" t="n">
        <f aca="false">물고기!E48</f>
        <v>30</v>
      </c>
      <c r="C53" s="31" t="n">
        <f aca="false">물고기!F48</f>
        <v>55</v>
      </c>
      <c r="D53" s="5" t="n">
        <f aca="false">물고기!G48</f>
        <v>2500</v>
      </c>
      <c r="E53" s="27" t="n">
        <f aca="false">ROUND(B53+(C53-B53)*$B$5,1)</f>
        <v>47.5</v>
      </c>
      <c r="F53" s="27" t="n">
        <f aca="false">ROUND(B53+(C53-B53)*$B$6,1)</f>
        <v>51.3</v>
      </c>
      <c r="G53" s="27" t="n">
        <f aca="false">ROUND(B53+(C53-B53)*$B$7,1)</f>
        <v>53.8</v>
      </c>
      <c r="H53" s="20" t="n">
        <f aca="false">D53*SUM($C$5:$C$7)</f>
        <v>4250</v>
      </c>
    </row>
    <row r="54" customFormat="false" ht="15" hidden="false" customHeight="false" outlineLevel="0" collapsed="false">
      <c r="A54" s="31" t="str">
        <f aca="false">물고기!B49</f>
        <v>해운대 은갈치</v>
      </c>
      <c r="B54" s="31" t="n">
        <f aca="false">물고기!E49</f>
        <v>90</v>
      </c>
      <c r="C54" s="31" t="n">
        <f aca="false">물고기!F49</f>
        <v>180</v>
      </c>
      <c r="D54" s="5" t="n">
        <f aca="false">물고기!G49</f>
        <v>1800</v>
      </c>
      <c r="E54" s="27" t="n">
        <f aca="false">ROUND(B54+(C54-B54)*$B$5,1)</f>
        <v>153</v>
      </c>
      <c r="F54" s="27" t="n">
        <f aca="false">ROUND(B54+(C54-B54)*$B$6,1)</f>
        <v>166.5</v>
      </c>
      <c r="G54" s="27" t="n">
        <f aca="false">ROUND(B54+(C54-B54)*$B$7,1)</f>
        <v>175.5</v>
      </c>
      <c r="H54" s="20" t="n">
        <f aca="false">D54*SUM($C$5:$C$7)</f>
        <v>3060</v>
      </c>
    </row>
    <row r="55" customFormat="false" ht="15" hidden="false" customHeight="false" outlineLevel="0" collapsed="false">
      <c r="A55" s="31" t="str">
        <f aca="false">물고기!B50</f>
        <v>태종대 다금바리</v>
      </c>
      <c r="B55" s="31" t="n">
        <f aca="false">물고기!E50</f>
        <v>50</v>
      </c>
      <c r="C55" s="31" t="n">
        <f aca="false">물고기!F50</f>
        <v>120</v>
      </c>
      <c r="D55" s="5" t="n">
        <f aca="false">물고기!G50</f>
        <v>6000</v>
      </c>
      <c r="E55" s="27" t="n">
        <f aca="false">ROUND(B55+(C55-B55)*$B$5,1)</f>
        <v>99</v>
      </c>
      <c r="F55" s="27" t="n">
        <f aca="false">ROUND(B55+(C55-B55)*$B$6,1)</f>
        <v>109.5</v>
      </c>
      <c r="G55" s="27" t="n">
        <f aca="false">ROUND(B55+(C55-B55)*$B$7,1)</f>
        <v>116.5</v>
      </c>
      <c r="H55" s="20" t="n">
        <f aca="false">D55*SUM($C$5:$C$7)</f>
        <v>10200</v>
      </c>
    </row>
    <row r="56" customFormat="false" ht="15" hidden="false" customHeight="false" outlineLevel="0" collapsed="false">
      <c r="A56" s="31" t="str">
        <f aca="false">물고기!B51</f>
        <v>오륙도 돗돔</v>
      </c>
      <c r="B56" s="31" t="n">
        <f aca="false">물고기!E51</f>
        <v>100</v>
      </c>
      <c r="C56" s="31" t="n">
        <f aca="false">물고기!F51</f>
        <v>220</v>
      </c>
      <c r="D56" s="5" t="n">
        <f aca="false">물고기!G51</f>
        <v>20000</v>
      </c>
      <c r="E56" s="27" t="n">
        <f aca="false">ROUND(B56+(C56-B56)*$B$5,1)</f>
        <v>184</v>
      </c>
      <c r="F56" s="27" t="n">
        <f aca="false">ROUND(B56+(C56-B56)*$B$6,1)</f>
        <v>202</v>
      </c>
      <c r="G56" s="27" t="n">
        <f aca="false">ROUND(B56+(C56-B56)*$B$7,1)</f>
        <v>214</v>
      </c>
      <c r="H56" s="20" t="n">
        <f aca="false">D56*SUM($C$5:$C$7)</f>
        <v>34000</v>
      </c>
    </row>
    <row r="57" customFormat="false" ht="15" hidden="false" customHeight="false" outlineLevel="0" collapsed="false">
      <c r="G57" s="4" t="s">
        <v>414</v>
      </c>
      <c r="H57" s="20" t="n">
        <f aca="false">SUM(H10:H56)</f>
        <v>180953.1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417</v>
      </c>
    </row>
    <row r="5" customFormat="false" ht="15" hidden="false" customHeight="false" outlineLevel="0" collapsed="false">
      <c r="A5" s="4" t="s">
        <v>418</v>
      </c>
      <c r="B5" s="35" t="n">
        <v>12</v>
      </c>
      <c r="C5" s="4" t="s">
        <v>419</v>
      </c>
    </row>
    <row r="6" customFormat="false" ht="15" hidden="false" customHeight="false" outlineLevel="0" collapsed="false">
      <c r="A6" s="4" t="s">
        <v>420</v>
      </c>
      <c r="B6" s="35" t="n">
        <v>3</v>
      </c>
      <c r="C6" s="4"/>
    </row>
    <row r="7" customFormat="false" ht="15" hidden="false" customHeight="false" outlineLevel="0" collapsed="false">
      <c r="A7" s="4" t="s">
        <v>421</v>
      </c>
      <c r="B7" s="21" t="n">
        <v>0.6</v>
      </c>
      <c r="C7" s="4"/>
    </row>
    <row r="8" customFormat="false" ht="15" hidden="false" customHeight="false" outlineLevel="0" collapsed="false">
      <c r="A8" s="4" t="s">
        <v>422</v>
      </c>
      <c r="B8" s="21" t="n">
        <v>0.25</v>
      </c>
      <c r="C8" s="4" t="s">
        <v>423</v>
      </c>
    </row>
    <row r="9" customFormat="false" ht="15" hidden="false" customHeight="false" outlineLevel="0" collapsed="false">
      <c r="A9" s="4" t="s">
        <v>424</v>
      </c>
      <c r="B9" s="21" t="n">
        <v>0.15</v>
      </c>
      <c r="C9" s="4"/>
    </row>
    <row r="10" customFormat="false" ht="15" hidden="false" customHeight="false" outlineLevel="0" collapsed="false">
      <c r="A10" s="4" t="s">
        <v>425</v>
      </c>
      <c r="B10" s="32" t="n">
        <v>1.3</v>
      </c>
      <c r="C10" s="4" t="s">
        <v>426</v>
      </c>
    </row>
    <row r="11" customFormat="false" ht="15" hidden="false" customHeight="false" outlineLevel="0" collapsed="false">
      <c r="A11" s="4" t="s">
        <v>427</v>
      </c>
      <c r="B11" s="32" t="n">
        <v>1.5</v>
      </c>
      <c r="C11" s="4"/>
    </row>
    <row r="12" customFormat="false" ht="15" hidden="false" customHeight="false" outlineLevel="0" collapsed="false">
      <c r="A12" s="4" t="s">
        <v>428</v>
      </c>
      <c r="B12" s="22" t="n">
        <v>0.3</v>
      </c>
      <c r="C12" s="4" t="s">
        <v>429</v>
      </c>
    </row>
    <row r="13" customFormat="false" ht="15" hidden="false" customHeight="false" outlineLevel="0" collapsed="false">
      <c r="A13" s="4" t="s">
        <v>430</v>
      </c>
      <c r="B13" s="22" t="n">
        <v>0.25</v>
      </c>
      <c r="C13" s="4"/>
    </row>
    <row r="14" customFormat="false" ht="15" hidden="false" customHeight="false" outlineLevel="0" collapsed="false">
      <c r="A14" s="4" t="s">
        <v>431</v>
      </c>
      <c r="B14" s="22" t="n">
        <v>0.8</v>
      </c>
      <c r="C14" s="4"/>
    </row>
    <row r="15" customFormat="false" ht="15" hidden="false" customHeight="false" outlineLevel="0" collapsed="false">
      <c r="A15" s="4" t="s">
        <v>432</v>
      </c>
      <c r="B15" s="32" t="n">
        <v>2</v>
      </c>
      <c r="C15" s="4"/>
    </row>
    <row r="16" customFormat="false" ht="15" hidden="false" customHeight="false" outlineLevel="0" collapsed="false">
      <c r="A16" s="4" t="s">
        <v>433</v>
      </c>
      <c r="B16" s="32" t="n">
        <v>2</v>
      </c>
      <c r="C16" s="4"/>
    </row>
    <row r="18" customFormat="false" ht="17.15" hidden="false" customHeight="false" outlineLevel="0" collapsed="false">
      <c r="A18" s="30" t="s">
        <v>434</v>
      </c>
    </row>
    <row r="19" customFormat="false" ht="31.5" hidden="false" customHeight="true" outlineLevel="0" collapsed="false">
      <c r="A19" s="3" t="s">
        <v>312</v>
      </c>
      <c r="B19" s="3" t="s">
        <v>435</v>
      </c>
      <c r="C19" s="3" t="s">
        <v>436</v>
      </c>
      <c r="D19" s="3" t="s">
        <v>437</v>
      </c>
      <c r="E19" s="3" t="s">
        <v>438</v>
      </c>
      <c r="F19" s="3" t="s">
        <v>439</v>
      </c>
      <c r="G19" s="3" t="s">
        <v>440</v>
      </c>
    </row>
    <row r="20" customFormat="false" ht="15" hidden="false" customHeight="false" outlineLevel="0" collapsed="false">
      <c r="A20" s="31" t="str">
        <f aca="false">낚시터!B6</f>
        <v>하천</v>
      </c>
      <c r="B20" s="20" t="n">
        <v>28</v>
      </c>
      <c r="C20" s="20" t="n">
        <v>30</v>
      </c>
      <c r="D20" s="20" t="n">
        <v>30</v>
      </c>
      <c r="E20" s="20" t="n">
        <v>30</v>
      </c>
      <c r="F20" s="36" t="n">
        <f aca="false">C20/B20</f>
        <v>1.07142857142857</v>
      </c>
      <c r="G20" s="36" t="n">
        <f aca="false">D20/B20</f>
        <v>1.07142857142857</v>
      </c>
    </row>
    <row r="21" customFormat="false" ht="15" hidden="false" customHeight="false" outlineLevel="0" collapsed="false">
      <c r="A21" s="31" t="str">
        <f aca="false">낚시터!B7</f>
        <v>강</v>
      </c>
      <c r="B21" s="20" t="n">
        <v>60</v>
      </c>
      <c r="C21" s="20" t="n">
        <v>84</v>
      </c>
      <c r="D21" s="20" t="n">
        <v>66</v>
      </c>
      <c r="E21" s="20" t="n">
        <v>63</v>
      </c>
      <c r="F21" s="36" t="n">
        <f aca="false">C21/B21</f>
        <v>1.4</v>
      </c>
      <c r="G21" s="36" t="n">
        <f aca="false">D21/B21</f>
        <v>1.1</v>
      </c>
    </row>
    <row r="22" customFormat="false" ht="15" hidden="false" customHeight="false" outlineLevel="0" collapsed="false">
      <c r="A22" s="31" t="str">
        <f aca="false">낚시터!B8</f>
        <v>방파제</v>
      </c>
      <c r="B22" s="20" t="n">
        <v>122</v>
      </c>
      <c r="C22" s="20" t="n">
        <v>132</v>
      </c>
      <c r="D22" s="20" t="n">
        <v>130</v>
      </c>
      <c r="E22" s="20" t="n">
        <v>126</v>
      </c>
      <c r="F22" s="36" t="n">
        <f aca="false">C22/B22</f>
        <v>1.08196721311475</v>
      </c>
      <c r="G22" s="36" t="n">
        <f aca="false">D22/B22</f>
        <v>1.0655737704918</v>
      </c>
    </row>
    <row r="23" customFormat="false" ht="15" hidden="false" customHeight="false" outlineLevel="0" collapsed="false">
      <c r="A23" s="31" t="str">
        <f aca="false">낚시터!B9</f>
        <v>독도</v>
      </c>
      <c r="B23" s="20" t="n">
        <v>319</v>
      </c>
      <c r="C23" s="20" t="n">
        <v>345</v>
      </c>
      <c r="D23" s="20" t="n">
        <v>327</v>
      </c>
      <c r="E23" s="20" t="n">
        <v>322</v>
      </c>
      <c r="F23" s="36" t="n">
        <f aca="false">C23/B23</f>
        <v>1.08150470219436</v>
      </c>
      <c r="G23" s="36" t="n">
        <f aca="false">D23/B23</f>
        <v>1.02507836990596</v>
      </c>
    </row>
    <row r="24" customFormat="false" ht="15" hidden="false" customHeight="false" outlineLevel="0" collapsed="false">
      <c r="A24" s="31" t="str">
        <f aca="false">낚시터!B10</f>
        <v>배낚시</v>
      </c>
      <c r="B24" s="20" t="n">
        <v>787</v>
      </c>
      <c r="C24" s="20" t="n">
        <v>812</v>
      </c>
      <c r="D24" s="20" t="n">
        <v>845</v>
      </c>
      <c r="E24" s="20" t="n">
        <v>819</v>
      </c>
      <c r="F24" s="36" t="n">
        <f aca="false">C24/B24</f>
        <v>1.03176620076239</v>
      </c>
      <c r="G24" s="36" t="n">
        <f aca="false">D24/B24</f>
        <v>1.07369758576874</v>
      </c>
    </row>
    <row r="25" customFormat="false" ht="15" hidden="false" customHeight="false" outlineLevel="0" collapsed="false">
      <c r="A25" s="31" t="str">
        <f aca="false">낚시터!B11</f>
        <v>아마존</v>
      </c>
      <c r="B25" s="20" t="n">
        <v>1547</v>
      </c>
      <c r="C25" s="20" t="n">
        <v>1851</v>
      </c>
      <c r="D25" s="20" t="n">
        <v>1553</v>
      </c>
      <c r="E25" s="20" t="n">
        <v>1556</v>
      </c>
      <c r="F25" s="36" t="n">
        <f aca="false">C25/B25</f>
        <v>1.19650937297996</v>
      </c>
      <c r="G25" s="36" t="n">
        <f aca="false">D25/B25</f>
        <v>1.00387847446671</v>
      </c>
    </row>
    <row r="26" customFormat="false" ht="15" hidden="false" customHeight="false" outlineLevel="0" collapsed="false">
      <c r="A26" s="31" t="str">
        <f aca="false">낚시터!B12</f>
        <v>알래스카</v>
      </c>
      <c r="B26" s="20" t="n">
        <v>2193</v>
      </c>
      <c r="C26" s="20" t="n">
        <v>2574</v>
      </c>
      <c r="D26" s="20" t="n">
        <v>2257</v>
      </c>
      <c r="E26" s="20" t="n">
        <v>2281</v>
      </c>
      <c r="F26" s="36" t="n">
        <f aca="false">C26/B26</f>
        <v>1.17373461012312</v>
      </c>
      <c r="G26" s="36" t="n">
        <f aca="false">D26/B26</f>
        <v>1.02918376652987</v>
      </c>
    </row>
    <row r="27" customFormat="false" ht="15" hidden="false" customHeight="false" outlineLevel="0" collapsed="false">
      <c r="A27" s="31" t="str">
        <f aca="false">낚시터!B13</f>
        <v>부산</v>
      </c>
      <c r="B27" s="20" t="n">
        <v>1911</v>
      </c>
      <c r="C27" s="20" t="n">
        <v>2162</v>
      </c>
      <c r="D27" s="20" t="n">
        <v>1975</v>
      </c>
      <c r="E27" s="20" t="n">
        <v>1995</v>
      </c>
      <c r="F27" s="36" t="n">
        <f aca="false">C27/B27</f>
        <v>1.13134484563056</v>
      </c>
      <c r="G27" s="36" t="n">
        <f aca="false">D27/B27</f>
        <v>1.03349031920461</v>
      </c>
    </row>
    <row r="29" customFormat="false" ht="17.15" hidden="false" customHeight="false" outlineLevel="0" collapsed="false">
      <c r="A29" s="30" t="s">
        <v>441</v>
      </c>
    </row>
    <row r="30" customFormat="false" ht="15" hidden="false" customHeight="false" outlineLevel="0" collapsed="false">
      <c r="A30" s="4" t="s">
        <v>442</v>
      </c>
      <c r="B30" s="21" t="n">
        <v>0.5</v>
      </c>
    </row>
    <row r="31" customFormat="false" ht="31.5" hidden="false" customHeight="true" outlineLevel="0" collapsed="false">
      <c r="A31" s="3" t="s">
        <v>443</v>
      </c>
      <c r="B31" s="3" t="s">
        <v>444</v>
      </c>
      <c r="C31" s="3" t="s">
        <v>445</v>
      </c>
      <c r="D31" s="3" t="s">
        <v>446</v>
      </c>
      <c r="E31" s="3" t="s">
        <v>447</v>
      </c>
      <c r="F31" s="3" t="s">
        <v>448</v>
      </c>
      <c r="G31" s="3" t="s">
        <v>449</v>
      </c>
      <c r="H31" s="3" t="s">
        <v>417</v>
      </c>
    </row>
    <row r="32" customFormat="false" ht="15" hidden="false" customHeight="false" outlineLevel="0" collapsed="false">
      <c r="A32" s="11" t="s">
        <v>450</v>
      </c>
      <c r="B32" s="4" t="s">
        <v>451</v>
      </c>
      <c r="C32" s="32" t="n">
        <v>3</v>
      </c>
      <c r="D32" s="22" t="n">
        <v>0</v>
      </c>
      <c r="E32" s="22" t="n">
        <v>1</v>
      </c>
      <c r="F32" s="22" t="n">
        <v>1</v>
      </c>
      <c r="G32" s="22" t="n">
        <v>0</v>
      </c>
      <c r="H32" s="4" t="s">
        <v>452</v>
      </c>
    </row>
    <row r="33" customFormat="false" ht="15" hidden="false" customHeight="false" outlineLevel="0" collapsed="false">
      <c r="A33" s="11" t="s">
        <v>453</v>
      </c>
      <c r="B33" s="4" t="s">
        <v>454</v>
      </c>
      <c r="C33" s="32" t="n">
        <v>1</v>
      </c>
      <c r="D33" s="22" t="n">
        <v>0.15</v>
      </c>
      <c r="E33" s="22" t="n">
        <v>1.2</v>
      </c>
      <c r="F33" s="22" t="n">
        <v>1</v>
      </c>
      <c r="G33" s="22" t="n">
        <v>0</v>
      </c>
      <c r="H33" s="4" t="s">
        <v>455</v>
      </c>
    </row>
    <row r="34" customFormat="false" ht="15" hidden="false" customHeight="false" outlineLevel="0" collapsed="false">
      <c r="A34" s="11" t="s">
        <v>456</v>
      </c>
      <c r="B34" s="4" t="s">
        <v>457</v>
      </c>
      <c r="C34" s="32" t="n">
        <v>1</v>
      </c>
      <c r="D34" s="22" t="n">
        <v>0</v>
      </c>
      <c r="E34" s="22" t="n">
        <v>1</v>
      </c>
      <c r="F34" s="22" t="n">
        <v>0.65</v>
      </c>
      <c r="G34" s="22" t="n">
        <v>0</v>
      </c>
      <c r="H34" s="4" t="s">
        <v>458</v>
      </c>
    </row>
    <row r="35" customFormat="false" ht="15" hidden="false" customHeight="false" outlineLevel="0" collapsed="false">
      <c r="A35" s="11" t="s">
        <v>459</v>
      </c>
      <c r="B35" s="4" t="s">
        <v>460</v>
      </c>
      <c r="C35" s="32" t="n">
        <v>1</v>
      </c>
      <c r="D35" s="22" t="n">
        <v>0</v>
      </c>
      <c r="E35" s="22" t="n">
        <v>1</v>
      </c>
      <c r="F35" s="22" t="n">
        <v>1.25</v>
      </c>
      <c r="G35" s="22" t="n">
        <v>0.5</v>
      </c>
      <c r="H35" s="4" t="s">
        <v>461</v>
      </c>
    </row>
    <row r="36" customFormat="false" ht="15" hidden="false" customHeight="false" outlineLevel="0" collapsed="false">
      <c r="A36" s="4" t="s">
        <v>462</v>
      </c>
      <c r="B36" s="29" t="n">
        <f aca="false">B30/2</f>
        <v>0.25</v>
      </c>
    </row>
    <row r="37" customFormat="false" ht="15" hidden="false" customHeight="false" outlineLevel="0" collapsed="false">
      <c r="A37" s="4" t="s">
        <v>463</v>
      </c>
      <c r="B37" s="29" t="n">
        <f aca="false">B30/2</f>
        <v>0.25</v>
      </c>
    </row>
    <row r="38" customFormat="false" ht="15" hidden="false" customHeight="false" outlineLevel="0" collapsed="false">
      <c r="A38" s="4" t="s">
        <v>464</v>
      </c>
      <c r="B38" s="29" t="n">
        <f aca="false">B30/2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1" t="s">
        <v>465</v>
      </c>
    </row>
    <row r="3" customFormat="false" ht="15" hidden="false" customHeight="false" outlineLevel="0" collapsed="false">
      <c r="A3" s="30" t="s">
        <v>466</v>
      </c>
    </row>
    <row r="4" customFormat="false" ht="15" hidden="false" customHeight="false" outlineLevel="0" collapsed="false">
      <c r="A4" s="4" t="s">
        <v>467</v>
      </c>
      <c r="B4" s="21" t="n">
        <v>0.1</v>
      </c>
    </row>
    <row r="5" customFormat="false" ht="15" hidden="false" customHeight="false" outlineLevel="0" collapsed="false">
      <c r="A5" s="4" t="s">
        <v>468</v>
      </c>
      <c r="B5" s="9" t="n">
        <v>24</v>
      </c>
    </row>
    <row r="6" customFormat="false" ht="15" hidden="false" customHeight="false" outlineLevel="0" collapsed="false">
      <c r="A6" s="4" t="s">
        <v>469</v>
      </c>
      <c r="B6" s="12" t="n">
        <v>2000</v>
      </c>
    </row>
    <row r="8" customFormat="false" ht="31.5" hidden="false" customHeight="true" outlineLevel="0" collapsed="false">
      <c r="A8" s="3" t="s">
        <v>470</v>
      </c>
      <c r="B8" s="3" t="s">
        <v>471</v>
      </c>
      <c r="C8" s="3" t="s">
        <v>128</v>
      </c>
      <c r="D8" s="3" t="s">
        <v>472</v>
      </c>
      <c r="E8" s="3" t="s">
        <v>473</v>
      </c>
      <c r="F8" s="3" t="s">
        <v>474</v>
      </c>
      <c r="G8" s="3" t="s">
        <v>475</v>
      </c>
    </row>
    <row r="9" customFormat="false" ht="15" hidden="false" customHeight="false" outlineLevel="0" collapsed="false">
      <c r="A9" s="11" t="s">
        <v>476</v>
      </c>
      <c r="B9" s="12" t="n">
        <v>20000</v>
      </c>
      <c r="C9" s="20" t="n">
        <f aca="false">SUM($B$9:B9)</f>
        <v>20000</v>
      </c>
      <c r="D9" s="9" t="n">
        <v>3</v>
      </c>
      <c r="E9" s="20" t="n">
        <f aca="false">D9*$B$6*$B$4</f>
        <v>600</v>
      </c>
      <c r="F9" s="20" t="n">
        <f aca="false">E9*$B$5</f>
        <v>14400</v>
      </c>
      <c r="G9" s="24" t="n">
        <f aca="false">C9/E9</f>
        <v>33.3333333333333</v>
      </c>
    </row>
    <row r="10" customFormat="false" ht="15" hidden="false" customHeight="false" outlineLevel="0" collapsed="false">
      <c r="A10" s="11" t="s">
        <v>477</v>
      </c>
      <c r="B10" s="12" t="n">
        <v>60000</v>
      </c>
      <c r="C10" s="20" t="n">
        <f aca="false">SUM($B$9:B10)</f>
        <v>80000</v>
      </c>
      <c r="D10" s="9" t="n">
        <v>5</v>
      </c>
      <c r="E10" s="20" t="n">
        <f aca="false">D10*$B$6*$B$4</f>
        <v>1000</v>
      </c>
      <c r="F10" s="20" t="n">
        <f aca="false">E10*$B$5</f>
        <v>24000</v>
      </c>
      <c r="G10" s="24" t="n">
        <f aca="false">C10/E10</f>
        <v>80</v>
      </c>
    </row>
    <row r="11" customFormat="false" ht="15" hidden="false" customHeight="false" outlineLevel="0" collapsed="false">
      <c r="A11" s="11" t="s">
        <v>478</v>
      </c>
      <c r="B11" s="12" t="n">
        <v>150000</v>
      </c>
      <c r="C11" s="20" t="n">
        <f aca="false">SUM($B$9:B11)</f>
        <v>230000</v>
      </c>
      <c r="D11" s="9" t="n">
        <v>8</v>
      </c>
      <c r="E11" s="20" t="n">
        <f aca="false">D11*$B$6*$B$4</f>
        <v>1600</v>
      </c>
      <c r="F11" s="20" t="n">
        <f aca="false">E11*$B$5</f>
        <v>38400</v>
      </c>
      <c r="G11" s="24" t="n">
        <f aca="false">C11/E11</f>
        <v>143.75</v>
      </c>
    </row>
    <row r="12" customFormat="false" ht="15" hidden="false" customHeight="false" outlineLevel="0" collapsed="false">
      <c r="A12" s="11" t="s">
        <v>479</v>
      </c>
      <c r="B12" s="12" t="n">
        <v>400000</v>
      </c>
      <c r="C12" s="20" t="n">
        <f aca="false">SUM($B$9:B12)</f>
        <v>630000</v>
      </c>
      <c r="D12" s="9" t="n">
        <v>12</v>
      </c>
      <c r="E12" s="20" t="n">
        <f aca="false">D12*$B$6*$B$4</f>
        <v>2400</v>
      </c>
      <c r="F12" s="20" t="n">
        <f aca="false">E12*$B$5</f>
        <v>57600</v>
      </c>
      <c r="G12" s="24" t="n">
        <f aca="false">C12/E12</f>
        <v>262.5</v>
      </c>
    </row>
    <row r="13" customFormat="false" ht="15" hidden="false" customHeight="false" outlineLevel="0" collapsed="false">
      <c r="A13" s="11" t="s">
        <v>480</v>
      </c>
      <c r="B13" s="12" t="n">
        <v>1000000</v>
      </c>
      <c r="C13" s="20" t="n">
        <f aca="false">SUM($B$9:B13)</f>
        <v>1630000</v>
      </c>
      <c r="D13" s="9" t="n">
        <v>16</v>
      </c>
      <c r="E13" s="20" t="n">
        <f aca="false">D13*$B$6*$B$4</f>
        <v>3200</v>
      </c>
      <c r="F13" s="20" t="n">
        <f aca="false">E13*$B$5</f>
        <v>76800</v>
      </c>
      <c r="G13" s="24" t="n">
        <f aca="false">C13/E13</f>
        <v>509.375</v>
      </c>
    </row>
    <row r="15" customFormat="false" ht="15" hidden="false" customHeight="false" outlineLevel="0" collapsed="false">
      <c r="A15" s="30" t="s">
        <v>481</v>
      </c>
    </row>
    <row r="16" customFormat="false" ht="31.5" hidden="false" customHeight="true" outlineLevel="0" collapsed="false">
      <c r="A16" s="3" t="s">
        <v>178</v>
      </c>
      <c r="B16" s="3" t="s">
        <v>482</v>
      </c>
      <c r="C16" s="3" t="s">
        <v>483</v>
      </c>
      <c r="D16" s="3" t="s">
        <v>484</v>
      </c>
      <c r="E16" s="3" t="s">
        <v>485</v>
      </c>
    </row>
    <row r="17" customFormat="false" ht="15" hidden="false" customHeight="false" outlineLevel="0" collapsed="false">
      <c r="A17" s="11" t="s">
        <v>486</v>
      </c>
      <c r="B17" s="12" t="n">
        <v>3000</v>
      </c>
      <c r="C17" s="9" t="n">
        <v>10</v>
      </c>
      <c r="D17" s="20" t="n">
        <f aca="false">B17/C17</f>
        <v>300</v>
      </c>
      <c r="E17" s="4" t="s">
        <v>487</v>
      </c>
    </row>
    <row r="18" customFormat="false" ht="15" hidden="false" customHeight="false" outlineLevel="0" collapsed="false">
      <c r="A18" s="11" t="s">
        <v>488</v>
      </c>
      <c r="B18" s="12" t="n">
        <v>8000</v>
      </c>
      <c r="C18" s="9" t="n">
        <v>10</v>
      </c>
      <c r="D18" s="20" t="n">
        <f aca="false">B18/C18</f>
        <v>800</v>
      </c>
      <c r="E18" s="4" t="s">
        <v>489</v>
      </c>
    </row>
    <row r="19" customFormat="false" ht="15" hidden="false" customHeight="false" outlineLevel="0" collapsed="false">
      <c r="A19" s="11" t="s">
        <v>490</v>
      </c>
      <c r="B19" s="12" t="n">
        <v>15000</v>
      </c>
      <c r="C19" s="9" t="n">
        <v>1</v>
      </c>
      <c r="D19" s="20" t="n">
        <f aca="false">B19/C19</f>
        <v>15000</v>
      </c>
      <c r="E19" s="4" t="s">
        <v>491</v>
      </c>
    </row>
    <row r="21" customFormat="false" ht="15" hidden="false" customHeight="false" outlineLevel="0" collapsed="false">
      <c r="A21" s="30" t="s">
        <v>492</v>
      </c>
    </row>
    <row r="22" customFormat="false" ht="15" hidden="false" customHeight="false" outlineLevel="0" collapsed="false">
      <c r="A22" s="4" t="s">
        <v>493</v>
      </c>
      <c r="B22" s="9" t="n">
        <v>180</v>
      </c>
    </row>
    <row r="23" customFormat="false" ht="15" hidden="false" customHeight="false" outlineLevel="0" collapsed="false">
      <c r="A23" s="4" t="s">
        <v>494</v>
      </c>
      <c r="B23" s="9" t="n">
        <v>10</v>
      </c>
    </row>
    <row r="24" customFormat="false" ht="15" hidden="false" customHeight="false" outlineLevel="0" collapsed="false">
      <c r="A24" s="4" t="s">
        <v>495</v>
      </c>
      <c r="B24" s="32" t="n">
        <v>6</v>
      </c>
      <c r="C24" s="32" t="n">
        <v>3</v>
      </c>
      <c r="D24" s="32" t="n">
        <v>1.5</v>
      </c>
      <c r="E24" s="32" t="n">
        <v>0</v>
      </c>
    </row>
    <row r="26" customFormat="false" ht="31.5" hidden="false" customHeight="true" outlineLevel="0" collapsed="false">
      <c r="A26" s="3" t="s">
        <v>312</v>
      </c>
      <c r="B26" s="3" t="s">
        <v>496</v>
      </c>
      <c r="C26" s="3" t="s">
        <v>497</v>
      </c>
      <c r="D26" s="3" t="s">
        <v>498</v>
      </c>
      <c r="E26" s="3" t="s">
        <v>499</v>
      </c>
      <c r="F26" s="3" t="s">
        <v>500</v>
      </c>
    </row>
    <row r="27" customFormat="false" ht="15" hidden="false" customHeight="false" outlineLevel="0" collapsed="false">
      <c r="A27" s="31" t="str">
        <f aca="false">낚시터!B6</f>
        <v>하천</v>
      </c>
      <c r="B27" s="20" t="n">
        <f aca="false">MAX(100,ROUND(낚시터!F6*$B$23/10,0)*10)</f>
        <v>230</v>
      </c>
      <c r="C27" s="20" t="n">
        <f aca="false">B27*B$24</f>
        <v>1380</v>
      </c>
      <c r="D27" s="20" t="n">
        <f aca="false">B27*C$24</f>
        <v>690</v>
      </c>
      <c r="E27" s="20" t="n">
        <f aca="false">B27*D$24</f>
        <v>345</v>
      </c>
      <c r="F27" s="4" t="s">
        <v>501</v>
      </c>
    </row>
    <row r="28" customFormat="false" ht="15" hidden="false" customHeight="false" outlineLevel="0" collapsed="false">
      <c r="A28" s="31" t="str">
        <f aca="false">낚시터!B7</f>
        <v>강</v>
      </c>
      <c r="B28" s="20" t="n">
        <f aca="false">MAX(100,ROUND(낚시터!F7*$B$23/10,0)*10)</f>
        <v>470</v>
      </c>
      <c r="C28" s="20" t="n">
        <f aca="false">B28*B$24</f>
        <v>2820</v>
      </c>
      <c r="D28" s="20" t="n">
        <f aca="false">B28*C$24</f>
        <v>1410</v>
      </c>
      <c r="E28" s="20" t="n">
        <f aca="false">B28*D$24</f>
        <v>705</v>
      </c>
      <c r="F28" s="4" t="s">
        <v>501</v>
      </c>
    </row>
    <row r="29" customFormat="false" ht="15" hidden="false" customHeight="false" outlineLevel="0" collapsed="false">
      <c r="A29" s="31" t="str">
        <f aca="false">낚시터!B8</f>
        <v>방파제</v>
      </c>
      <c r="B29" s="20" t="n">
        <f aca="false">MAX(100,ROUND(낚시터!F8*$B$23/10,0)*10)</f>
        <v>1220</v>
      </c>
      <c r="C29" s="20" t="n">
        <f aca="false">B29*B$24</f>
        <v>7320</v>
      </c>
      <c r="D29" s="20" t="n">
        <f aca="false">B29*C$24</f>
        <v>3660</v>
      </c>
      <c r="E29" s="20" t="n">
        <f aca="false">B29*D$24</f>
        <v>1830</v>
      </c>
      <c r="F29" s="4" t="s">
        <v>501</v>
      </c>
    </row>
    <row r="30" customFormat="false" ht="15" hidden="false" customHeight="false" outlineLevel="0" collapsed="false">
      <c r="A30" s="31" t="str">
        <f aca="false">낚시터!B9</f>
        <v>독도</v>
      </c>
      <c r="B30" s="20" t="n">
        <f aca="false">MAX(100,ROUND(낚시터!F9*$B$23/10,0)*10)</f>
        <v>2690</v>
      </c>
      <c r="C30" s="20" t="n">
        <f aca="false">B30*B$24</f>
        <v>16140</v>
      </c>
      <c r="D30" s="20" t="n">
        <f aca="false">B30*C$24</f>
        <v>8070</v>
      </c>
      <c r="E30" s="20" t="n">
        <f aca="false">B30*D$24</f>
        <v>4035</v>
      </c>
      <c r="F30" s="4" t="s">
        <v>501</v>
      </c>
    </row>
    <row r="31" customFormat="false" ht="15" hidden="false" customHeight="false" outlineLevel="0" collapsed="false">
      <c r="A31" s="31" t="str">
        <f aca="false">낚시터!B10</f>
        <v>배낚시</v>
      </c>
      <c r="B31" s="20" t="n">
        <f aca="false">MAX(100,ROUND(낚시터!F10*$B$23/10,0)*10)</f>
        <v>7580</v>
      </c>
      <c r="C31" s="20" t="n">
        <f aca="false">B31*B$24</f>
        <v>45480</v>
      </c>
      <c r="D31" s="20" t="n">
        <f aca="false">B31*C$24</f>
        <v>22740</v>
      </c>
      <c r="E31" s="20" t="n">
        <f aca="false">B31*D$24</f>
        <v>11370</v>
      </c>
      <c r="F31" s="4" t="s">
        <v>501</v>
      </c>
    </row>
    <row r="32" customFormat="false" ht="15" hidden="false" customHeight="false" outlineLevel="0" collapsed="false">
      <c r="A32" s="31" t="str">
        <f aca="false">낚시터!B11</f>
        <v>아마존</v>
      </c>
      <c r="B32" s="20" t="n">
        <f aca="false">MAX(100,ROUND(낚시터!F11*$B$23/10,0)*10)</f>
        <v>12620</v>
      </c>
      <c r="C32" s="20" t="n">
        <f aca="false">B32*B$24</f>
        <v>75720</v>
      </c>
      <c r="D32" s="20" t="n">
        <f aca="false">B32*C$24</f>
        <v>37860</v>
      </c>
      <c r="E32" s="20" t="n">
        <f aca="false">B32*D$24</f>
        <v>18930</v>
      </c>
      <c r="F32" s="4" t="s">
        <v>501</v>
      </c>
    </row>
    <row r="33" customFormat="false" ht="15" hidden="false" customHeight="false" outlineLevel="0" collapsed="false">
      <c r="A33" s="31" t="str">
        <f aca="false">낚시터!B12</f>
        <v>알래스카</v>
      </c>
      <c r="B33" s="20" t="n">
        <f aca="false">MAX(100,ROUND(낚시터!F12*$B$23/10,0)*10)</f>
        <v>20090</v>
      </c>
      <c r="C33" s="20" t="n">
        <f aca="false">B33*B$24</f>
        <v>120540</v>
      </c>
      <c r="D33" s="20" t="n">
        <f aca="false">B33*C$24</f>
        <v>60270</v>
      </c>
      <c r="E33" s="20" t="n">
        <f aca="false">B33*D$24</f>
        <v>30135</v>
      </c>
      <c r="F33" s="4" t="s">
        <v>501</v>
      </c>
    </row>
    <row r="35" customFormat="false" ht="15" hidden="false" customHeight="false" outlineLevel="0" collapsed="false">
      <c r="A35" s="30" t="s">
        <v>502</v>
      </c>
    </row>
    <row r="36" customFormat="false" ht="15" hidden="false" customHeight="false" outlineLevel="0" collapsed="false">
      <c r="A36" s="4" t="s">
        <v>503</v>
      </c>
      <c r="B36" s="21" t="n">
        <v>0.1</v>
      </c>
    </row>
    <row r="37" customFormat="false" ht="15" hidden="false" customHeight="false" outlineLevel="0" collapsed="false">
      <c r="A37" s="4" t="s">
        <v>504</v>
      </c>
      <c r="B37" s="21" t="n">
        <v>0.1</v>
      </c>
    </row>
    <row r="38" customFormat="false" ht="15" hidden="false" customHeight="false" outlineLevel="0" collapsed="false">
      <c r="A38" s="4" t="s">
        <v>505</v>
      </c>
      <c r="B38" s="12" t="n">
        <v>150</v>
      </c>
    </row>
    <row r="39" customFormat="false" ht="31.5" hidden="false" customHeight="true" outlineLevel="0" collapsed="false">
      <c r="A39" s="3" t="s">
        <v>506</v>
      </c>
      <c r="B39" s="3" t="s">
        <v>447</v>
      </c>
      <c r="C39" s="3" t="s">
        <v>507</v>
      </c>
    </row>
    <row r="40" customFormat="false" ht="15" hidden="false" customHeight="false" outlineLevel="0" collapsed="false">
      <c r="A40" s="14" t="n">
        <v>1</v>
      </c>
      <c r="B40" s="28" t="n">
        <f aca="false">1+A40*$B$36</f>
        <v>1.1</v>
      </c>
      <c r="C40" s="28" t="n">
        <f aca="false">1+A40*$B$37</f>
        <v>1.1</v>
      </c>
    </row>
    <row r="41" customFormat="false" ht="15" hidden="false" customHeight="false" outlineLevel="0" collapsed="false">
      <c r="A41" s="14" t="n">
        <v>2</v>
      </c>
      <c r="B41" s="28" t="n">
        <f aca="false">1+A41*$B$36</f>
        <v>1.2</v>
      </c>
      <c r="C41" s="28" t="n">
        <f aca="false">1+A41*$B$37</f>
        <v>1.2</v>
      </c>
    </row>
    <row r="42" customFormat="false" ht="15" hidden="false" customHeight="false" outlineLevel="0" collapsed="false">
      <c r="A42" s="14" t="n">
        <v>3</v>
      </c>
      <c r="B42" s="28" t="n">
        <f aca="false">1+A42*$B$36</f>
        <v>1.3</v>
      </c>
      <c r="C42" s="28" t="n">
        <f aca="false">1+A42*$B$37</f>
        <v>1.3</v>
      </c>
    </row>
    <row r="43" customFormat="false" ht="15" hidden="false" customHeight="false" outlineLevel="0" collapsed="false">
      <c r="A43" s="14" t="n">
        <v>4</v>
      </c>
      <c r="B43" s="28" t="n">
        <f aca="false">1+A43*$B$36</f>
        <v>1.4</v>
      </c>
      <c r="C43" s="28" t="n">
        <f aca="false">1+A43*$B$37</f>
        <v>1.4</v>
      </c>
    </row>
    <row r="44" customFormat="false" ht="15" hidden="false" customHeight="false" outlineLevel="0" collapsed="false">
      <c r="A44" s="14" t="n">
        <v>5</v>
      </c>
      <c r="B44" s="28" t="n">
        <f aca="false">1+A44*$B$36</f>
        <v>1.5</v>
      </c>
      <c r="C44" s="28" t="n">
        <f aca="false">1+A44*$B$37</f>
        <v>1.5</v>
      </c>
    </row>
    <row r="46" customFormat="false" ht="17.15" hidden="false" customHeight="false" outlineLevel="0" collapsed="false">
      <c r="A46" s="30" t="s">
        <v>508</v>
      </c>
    </row>
    <row r="47" customFormat="false" ht="15" hidden="false" customHeight="false" outlineLevel="0" collapsed="false">
      <c r="A47" s="4" t="s">
        <v>509</v>
      </c>
      <c r="B47" s="9" t="n">
        <v>10</v>
      </c>
      <c r="C47" s="9" t="n">
        <v>16</v>
      </c>
    </row>
    <row r="48" customFormat="false" ht="15" hidden="false" customHeight="false" outlineLevel="0" collapsed="false">
      <c r="A48" s="4" t="s">
        <v>510</v>
      </c>
      <c r="B48" s="9" t="n">
        <v>25</v>
      </c>
    </row>
    <row r="49" customFormat="false" ht="15" hidden="false" customHeight="false" outlineLevel="0" collapsed="false">
      <c r="A49" s="4" t="s">
        <v>511</v>
      </c>
      <c r="B49" s="9" t="n">
        <v>2</v>
      </c>
    </row>
    <row r="50" customFormat="false" ht="15" hidden="false" customHeight="false" outlineLevel="0" collapsed="false">
      <c r="A50" s="4" t="s">
        <v>512</v>
      </c>
      <c r="B50" s="9" t="n">
        <v>5</v>
      </c>
    </row>
    <row r="51" customFormat="false" ht="31.5" hidden="false" customHeight="true" outlineLevel="0" collapsed="false">
      <c r="A51" s="3" t="s">
        <v>513</v>
      </c>
      <c r="B51" s="3" t="s">
        <v>514</v>
      </c>
      <c r="C51" s="3" t="s">
        <v>515</v>
      </c>
      <c r="D51" s="3" t="s">
        <v>516</v>
      </c>
    </row>
    <row r="52" customFormat="false" ht="15" hidden="false" customHeight="false" outlineLevel="0" collapsed="false">
      <c r="A52" s="31" t="str">
        <f aca="false">낚시터!B6</f>
        <v>하천</v>
      </c>
      <c r="B52" s="20" t="n">
        <f aca="false">낚시터!F6*$B$47</f>
        <v>229.060014687636</v>
      </c>
      <c r="C52" s="20" t="n">
        <f aca="false">낚시터!F6*$C$47</f>
        <v>366.496023500217</v>
      </c>
      <c r="D52" s="20" t="n">
        <f aca="false">낚시터!F6*$B$48</f>
        <v>572.650036719089</v>
      </c>
    </row>
    <row r="53" customFormat="false" ht="15" hidden="false" customHeight="false" outlineLevel="0" collapsed="false">
      <c r="A53" s="31" t="str">
        <f aca="false">낚시터!B7</f>
        <v>강</v>
      </c>
      <c r="B53" s="20" t="n">
        <f aca="false">낚시터!F7*$B$47</f>
        <v>470.148669809363</v>
      </c>
      <c r="C53" s="20" t="n">
        <f aca="false">낚시터!F7*$C$47</f>
        <v>752.237871694981</v>
      </c>
      <c r="D53" s="20" t="n">
        <f aca="false">낚시터!F7*$B$48</f>
        <v>1175.37167452341</v>
      </c>
    </row>
    <row r="54" customFormat="false" ht="15" hidden="false" customHeight="false" outlineLevel="0" collapsed="false">
      <c r="A54" s="31" t="str">
        <f aca="false">낚시터!B8</f>
        <v>방파제</v>
      </c>
      <c r="B54" s="20" t="n">
        <f aca="false">낚시터!F8*$B$47</f>
        <v>1222.21537481253</v>
      </c>
      <c r="C54" s="20" t="n">
        <f aca="false">낚시터!F8*$C$47</f>
        <v>1955.54459970004</v>
      </c>
      <c r="D54" s="20" t="n">
        <f aca="false">낚시터!F8*$B$48</f>
        <v>3055.53843703132</v>
      </c>
    </row>
    <row r="55" customFormat="false" ht="15" hidden="false" customHeight="false" outlineLevel="0" collapsed="false">
      <c r="A55" s="31" t="str">
        <f aca="false">낚시터!B9</f>
        <v>독도</v>
      </c>
      <c r="B55" s="20" t="n">
        <f aca="false">낚시터!F9*$B$47</f>
        <v>2694.29188313713</v>
      </c>
      <c r="C55" s="20" t="n">
        <f aca="false">낚시터!F9*$C$47</f>
        <v>4310.8670130194</v>
      </c>
      <c r="D55" s="20" t="n">
        <f aca="false">낚시터!F9*$B$48</f>
        <v>6735.72970784282</v>
      </c>
    </row>
    <row r="56" customFormat="false" ht="15" hidden="false" customHeight="false" outlineLevel="0" collapsed="false">
      <c r="A56" s="31" t="str">
        <f aca="false">낚시터!B10</f>
        <v>배낚시</v>
      </c>
      <c r="B56" s="20" t="n">
        <f aca="false">낚시터!F10*$B$47</f>
        <v>7582.69279988315</v>
      </c>
      <c r="C56" s="20" t="n">
        <f aca="false">낚시터!F10*$C$47</f>
        <v>12132.308479813</v>
      </c>
      <c r="D56" s="20" t="n">
        <f aca="false">낚시터!F10*$B$48</f>
        <v>18956.7319997079</v>
      </c>
    </row>
    <row r="57" customFormat="false" ht="15" hidden="false" customHeight="false" outlineLevel="0" collapsed="false">
      <c r="A57" s="31" t="str">
        <f aca="false">낚시터!B11</f>
        <v>아마존</v>
      </c>
      <c r="B57" s="20" t="n">
        <f aca="false">낚시터!F11*$B$47</f>
        <v>12618.3027138793</v>
      </c>
      <c r="C57" s="20" t="n">
        <f aca="false">낚시터!F11*$C$47</f>
        <v>20189.2843422068</v>
      </c>
      <c r="D57" s="20" t="n">
        <f aca="false">낚시터!F11*$B$48</f>
        <v>31545.7567846982</v>
      </c>
    </row>
    <row r="58" customFormat="false" ht="15" hidden="false" customHeight="false" outlineLevel="0" collapsed="false">
      <c r="A58" s="31" t="str">
        <f aca="false">낚시터!B12</f>
        <v>알래스카</v>
      </c>
      <c r="B58" s="20" t="n">
        <f aca="false">낚시터!F12*$B$47</f>
        <v>20088.3703106896</v>
      </c>
      <c r="C58" s="20" t="n">
        <f aca="false">낚시터!F12*$C$47</f>
        <v>32141.3924971033</v>
      </c>
      <c r="D58" s="20" t="n">
        <f aca="false">낚시터!F12*$B$48</f>
        <v>50220.9257767239</v>
      </c>
    </row>
    <row r="60" customFormat="false" ht="15" hidden="false" customHeight="false" outlineLevel="0" collapsed="false">
      <c r="A60" s="30" t="s">
        <v>517</v>
      </c>
    </row>
    <row r="61" customFormat="false" ht="15" hidden="false" customHeight="false" outlineLevel="0" collapsed="false">
      <c r="A61" s="4" t="s">
        <v>518</v>
      </c>
      <c r="B61" s="10" t="n">
        <v>0.01</v>
      </c>
    </row>
    <row r="62" customFormat="false" ht="15" hidden="false" customHeight="false" outlineLevel="0" collapsed="false">
      <c r="A62" s="4" t="s">
        <v>519</v>
      </c>
      <c r="B62" s="10" t="n">
        <v>0.01</v>
      </c>
    </row>
    <row r="63" customFormat="false" ht="15" hidden="false" customHeight="false" outlineLevel="0" collapsed="false">
      <c r="A63" s="4" t="s">
        <v>520</v>
      </c>
      <c r="B63" s="21" t="n">
        <v>0.4</v>
      </c>
      <c r="C63" s="37" t="n">
        <v>5</v>
      </c>
    </row>
    <row r="64" customFormat="false" ht="15" hidden="false" customHeight="false" outlineLevel="0" collapsed="false">
      <c r="A64" s="4" t="s">
        <v>521</v>
      </c>
      <c r="B64" s="21" t="n">
        <v>0.6</v>
      </c>
      <c r="C64" s="37" t="n">
        <v>3</v>
      </c>
    </row>
    <row r="65" customFormat="false" ht="15" hidden="false" customHeight="false" outlineLevel="0" collapsed="false">
      <c r="A65" s="4" t="s">
        <v>522</v>
      </c>
      <c r="B65" s="29" t="n">
        <f aca="false">$B$61</f>
        <v>0.01</v>
      </c>
    </row>
    <row r="66" customFormat="false" ht="15" hidden="false" customHeight="false" outlineLevel="0" collapsed="false">
      <c r="A66" s="4" t="s">
        <v>523</v>
      </c>
      <c r="B66" s="29" t="n">
        <f aca="false">$B$61+1.3*$B$62</f>
        <v>0.023</v>
      </c>
    </row>
    <row r="68" customFormat="false" ht="15" hidden="false" customHeight="false" outlineLevel="0" collapsed="false">
      <c r="A68" s="30" t="s">
        <v>524</v>
      </c>
    </row>
    <row r="69" customFormat="false" ht="15" hidden="false" customHeight="false" outlineLevel="0" collapsed="false">
      <c r="A69" s="4" t="s">
        <v>525</v>
      </c>
      <c r="B69" s="9" t="n">
        <v>1</v>
      </c>
      <c r="C69" s="4" t="str">
        <f aca="false">IF(B69&lt;0,"끔",INDEX(등급!$A$4:$A$8,B69+1))</f>
        <v>고급</v>
      </c>
    </row>
    <row r="70" customFormat="false" ht="15" hidden="false" customHeight="false" outlineLevel="0" collapsed="false">
      <c r="A70" s="4" t="s">
        <v>526</v>
      </c>
      <c r="B70" s="4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528</v>
      </c>
    </row>
    <row r="2" customFormat="false" ht="15" hidden="false" customHeight="false" outlineLevel="0" collapsed="false">
      <c r="A2" s="2" t="s">
        <v>529</v>
      </c>
    </row>
    <row r="4" customFormat="false" ht="31.5" hidden="false" customHeight="true" outlineLevel="0" collapsed="false">
      <c r="A4" s="3" t="s">
        <v>312</v>
      </c>
      <c r="B4" s="3" t="s">
        <v>530</v>
      </c>
      <c r="C4" s="3" t="s">
        <v>531</v>
      </c>
      <c r="D4" s="3" t="s">
        <v>532</v>
      </c>
      <c r="E4" s="3" t="s">
        <v>129</v>
      </c>
      <c r="F4" s="3" t="s">
        <v>533</v>
      </c>
    </row>
    <row r="5" customFormat="false" ht="15" hidden="false" customHeight="false" outlineLevel="0" collapsed="false">
      <c r="A5" s="4" t="s">
        <v>321</v>
      </c>
      <c r="B5" s="14" t="n">
        <v>3</v>
      </c>
      <c r="C5" s="11" t="s">
        <v>534</v>
      </c>
      <c r="D5" s="4" t="s">
        <v>535</v>
      </c>
      <c r="E5" s="21" t="n">
        <v>0.15</v>
      </c>
      <c r="F5" s="4" t="s">
        <v>536</v>
      </c>
    </row>
    <row r="6" customFormat="false" ht="15" hidden="false" customHeight="false" outlineLevel="0" collapsed="false">
      <c r="A6" s="4" t="s">
        <v>323</v>
      </c>
      <c r="B6" s="14" t="n">
        <v>6</v>
      </c>
      <c r="C6" s="11" t="s">
        <v>537</v>
      </c>
      <c r="D6" s="4" t="s">
        <v>538</v>
      </c>
      <c r="E6" s="21" t="n">
        <v>0.05</v>
      </c>
      <c r="F6" s="4" t="s">
        <v>539</v>
      </c>
    </row>
    <row r="7" customFormat="false" ht="15" hidden="false" customHeight="false" outlineLevel="0" collapsed="false">
      <c r="A7" s="4" t="s">
        <v>325</v>
      </c>
      <c r="B7" s="14" t="n">
        <v>7</v>
      </c>
      <c r="C7" s="11" t="s">
        <v>540</v>
      </c>
      <c r="D7" s="4" t="s">
        <v>541</v>
      </c>
      <c r="E7" s="21" t="n">
        <v>0.1</v>
      </c>
      <c r="F7" s="4" t="s">
        <v>542</v>
      </c>
    </row>
    <row r="8" customFormat="false" ht="15" hidden="false" customHeight="false" outlineLevel="0" collapsed="false">
      <c r="A8" s="4" t="s">
        <v>327</v>
      </c>
      <c r="B8" s="14" t="n">
        <v>8</v>
      </c>
      <c r="C8" s="11" t="s">
        <v>543</v>
      </c>
      <c r="D8" s="4" t="s">
        <v>544</v>
      </c>
      <c r="E8" s="32" t="n">
        <v>0.3</v>
      </c>
      <c r="F8" s="4" t="s">
        <v>545</v>
      </c>
    </row>
    <row r="9" customFormat="false" ht="15" hidden="false" customHeight="false" outlineLevel="0" collapsed="false">
      <c r="A9" s="4" t="s">
        <v>329</v>
      </c>
      <c r="B9" s="14" t="n">
        <v>7</v>
      </c>
      <c r="C9" s="11" t="s">
        <v>546</v>
      </c>
      <c r="D9" s="4" t="s">
        <v>541</v>
      </c>
      <c r="E9" s="21" t="n">
        <v>0.05</v>
      </c>
      <c r="F9" s="4" t="s">
        <v>542</v>
      </c>
    </row>
    <row r="10" customFormat="false" ht="15" hidden="false" customHeight="false" outlineLevel="0" collapsed="false">
      <c r="A10" s="4" t="s">
        <v>331</v>
      </c>
      <c r="B10" s="14" t="n">
        <v>6</v>
      </c>
      <c r="C10" s="11" t="s">
        <v>547</v>
      </c>
      <c r="D10" s="4" t="s">
        <v>548</v>
      </c>
      <c r="E10" s="21" t="n">
        <v>0.1</v>
      </c>
      <c r="F10" s="4" t="s">
        <v>549</v>
      </c>
    </row>
    <row r="11" customFormat="false" ht="15" hidden="false" customHeight="false" outlineLevel="0" collapsed="false">
      <c r="A11" s="4" t="s">
        <v>333</v>
      </c>
      <c r="B11" s="14" t="n">
        <v>6</v>
      </c>
      <c r="C11" s="11" t="s">
        <v>550</v>
      </c>
      <c r="D11" s="4" t="s">
        <v>544</v>
      </c>
      <c r="E11" s="32" t="n">
        <v>0.2</v>
      </c>
      <c r="F11" s="4" t="s">
        <v>545</v>
      </c>
    </row>
    <row r="12" customFormat="false" ht="15" hidden="false" customHeight="false" outlineLevel="0" collapsed="false">
      <c r="A12" s="4" t="s">
        <v>335</v>
      </c>
      <c r="B12" s="14" t="n">
        <v>7</v>
      </c>
      <c r="C12" s="11" t="s">
        <v>551</v>
      </c>
      <c r="D12" s="4" t="s">
        <v>548</v>
      </c>
      <c r="E12" s="21" t="n">
        <v>0.05</v>
      </c>
      <c r="F12" s="4" t="s">
        <v>549</v>
      </c>
    </row>
    <row r="13" customFormat="false" ht="15" hidden="false" customHeight="false" outlineLevel="0" collapsed="false">
      <c r="A13" s="4" t="s">
        <v>338</v>
      </c>
      <c r="B13" s="14" t="n">
        <v>7</v>
      </c>
      <c r="C13" s="11" t="s">
        <v>552</v>
      </c>
      <c r="D13" s="4" t="s">
        <v>553</v>
      </c>
      <c r="E13" s="35" t="n">
        <v>30</v>
      </c>
      <c r="F13" s="4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2026-10-12T16:17:21Z</dcterms:created>
  <dc:creator>openpyxl</dc:creator>
  <dc:description/>
  <dc:language>en-US</dc:language>
  <cp:lastModifiedBy/>
  <dcterms:modified xsi:type="dcterms:W3CDTF">2026-10-12T16:17:21Z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