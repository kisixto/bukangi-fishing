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5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요약" sheetId="1" state="visible" r:id="rId3"/>
    <sheet name="가정" sheetId="2" state="visible" r:id="rId4"/>
    <sheet name="등급" sheetId="3" state="visible" r:id="rId5"/>
    <sheet name="장비" sheetId="4" state="visible" r:id="rId6"/>
    <sheet name="물고기" sheetId="5" state="visible" r:id="rId7"/>
    <sheet name="낚시터" sheetId="6" state="visible" r:id="rId8"/>
    <sheet name="그물" sheetId="7" state="visible" r:id="rId9"/>
    <sheet name="도감 보상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L4" authorId="0">
      <text>
        <r>
          <rPr>
            <sz val="10"/>
            <rFont val="Arial"/>
            <family val="2"/>
          </rPr>
          <t xml:space="preserve">E[</t>
        </r>
        <r>
          <rPr>
            <sz val="10"/>
            <rFont val="Noto Sans CJK SC"/>
            <family val="2"/>
          </rPr>
          <t xml:space="preserve">길이²</t>
        </r>
        <r>
          <rPr>
            <sz val="10"/>
            <rFont val="Arial"/>
            <family val="2"/>
          </rPr>
          <t xml:space="preserve">] = a² + 2a(b−a)/(1+</t>
        </r>
        <r>
          <rPr>
            <sz val="10"/>
            <rFont val="Noto Sans CJK SC"/>
            <family val="2"/>
          </rPr>
          <t xml:space="preserve">지수</t>
        </r>
        <r>
          <rPr>
            <sz val="10"/>
            <rFont val="Arial"/>
            <family val="2"/>
          </rPr>
          <t xml:space="preserve">) + (b−a)²/(1+2×</t>
        </r>
        <r>
          <rPr>
            <sz val="10"/>
            <rFont val="Noto Sans CJK SC"/>
            <family val="2"/>
          </rPr>
          <t xml:space="preserve">지수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Noto Sans CJK SC"/>
            <family val="2"/>
          </rPr>
          <t xml:space="preserve">반올림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Noto Sans CJK SC"/>
            <family val="2"/>
          </rPr>
          <t xml:space="preserve">방식 보너스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Noto Sans CJK SC"/>
            <family val="2"/>
          </rPr>
          <t xml:space="preserve">미끼 행운은 빼고 계산한 근사값입니다</t>
        </r>
        <r>
          <rPr>
            <sz val="10"/>
            <rFont val="Arial"/>
            <family val="2"/>
          </rPr>
          <t xml:space="preserve">.</t>
        </r>
      </text>
    </comment>
    <comment ref="R4" authorId="0">
      <text>
        <r>
          <rPr>
            <sz val="10"/>
            <rFont val="Noto Sans CJK SC"/>
            <family val="2"/>
          </rPr>
          <t xml:space="preserve">선호 방식으로 낚을 때 기준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Noto Sans CJK SC"/>
            <family val="2"/>
          </rPr>
          <t xml:space="preserve">비선호 방식이면 가정 시트의 비선호 배수를 곱합니다</t>
        </r>
        <r>
          <rPr>
            <sz val="10"/>
            <rFont val="Arial"/>
            <family val="2"/>
          </rPr>
          <t xml:space="preserve">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5" authorId="0">
      <text>
        <r>
          <rPr>
            <sz val="10"/>
            <rFont val="Noto Sans CJK SC"/>
            <family val="2"/>
          </rPr>
          <t xml:space="preserve">튜토리얼 보상을 뺀 금액 기준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5" authorId="0">
      <text>
        <r>
          <rPr>
            <sz val="10"/>
            <rFont val="Noto Sans CJK SC"/>
            <family val="2"/>
          </rPr>
          <t xml:space="preserve">반올림을 뺀 근사값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Noto Sans CJK SC"/>
            <family val="2"/>
          </rPr>
          <t xml:space="preserve">게임 안에서 </t>
        </r>
        <r>
          <rPr>
            <sz val="10"/>
            <rFont val="Arial"/>
            <family val="2"/>
          </rPr>
          <t xml:space="preserve">2</t>
        </r>
        <r>
          <rPr>
            <sz val="10"/>
            <rFont val="Noto Sans CJK SC"/>
            <family val="2"/>
          </rPr>
          <t xml:space="preserve">만 번 굴린 평균과 </t>
        </r>
        <r>
          <rPr>
            <sz val="10"/>
            <rFont val="Arial"/>
            <family val="2"/>
          </rPr>
          <t xml:space="preserve">1~3% </t>
        </r>
        <r>
          <rPr>
            <sz val="10"/>
            <rFont val="Noto Sans CJK SC"/>
            <family val="2"/>
          </rPr>
          <t xml:space="preserve">안에서 맞습니다</t>
        </r>
        <r>
          <rPr>
            <sz val="10"/>
            <rFont val="Arial"/>
            <family val="2"/>
          </rPr>
          <t xml:space="preserve">.</t>
        </r>
      </text>
    </comment>
    <comment ref="Q5" authorId="0">
      <text>
        <r>
          <rPr>
            <sz val="10"/>
            <rFont val="Noto Sans CJK SC"/>
            <family val="2"/>
          </rPr>
          <t xml:space="preserve">그 레벨로 올리는 비용을 그 레벨의 분당 수입으로 나눈 값 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Noto Sans CJK SC"/>
            <family val="2"/>
          </rPr>
          <t xml:space="preserve">게임을 켜 둔 채 칸이 안 찬다고 가정</t>
        </r>
        <r>
          <rPr>
            <sz val="10"/>
            <rFont val="Arial"/>
            <family val="2"/>
          </rPr>
          <t xml:space="preserve">)</t>
        </r>
      </text>
    </comment>
  </commentList>
</comments>
</file>

<file path=xl/sharedStrings.xml><?xml version="1.0" encoding="utf-8"?>
<sst xmlns="http://schemas.openxmlformats.org/spreadsheetml/2006/main" count="465" uniqueCount="310">
  <si>
    <t xml:space="preserve">부캉이 낚시터 밸런스 요약</t>
  </si>
  <si>
    <t xml:space="preserve">숫자는 다른 시트와 연결돼 있어 가정·물고기·장비 시트 값을 바꾸면 함께 바뀝니다.</t>
  </si>
  <si>
    <t xml:space="preserve">항목</t>
  </si>
  <si>
    <t xml:space="preserve">값</t>
  </si>
  <si>
    <t xml:space="preserve">메모</t>
  </si>
  <si>
    <t xml:space="preserve">실내 낚시터 1마리 기대 판매가 (원)</t>
  </si>
  <si>
    <t xml:space="preserve">떡밥·방식 무관 기준</t>
  </si>
  <si>
    <t xml:space="preserve">강 1마리 기대 판매가 (원)</t>
  </si>
  <si>
    <t xml:space="preserve">방파제 1마리 기대 판매가 (원)</t>
  </si>
  <si>
    <t xml:space="preserve">배낚시 1마리 기대 판매가 (원)</t>
  </si>
  <si>
    <t xml:space="preserve">부산 1마리 기대 판매가 (원)</t>
  </si>
  <si>
    <t xml:space="preserve">실내 낚시터 → 강 해금까지 기대 마릿수</t>
  </si>
  <si>
    <t xml:space="preserve">장비 강화에 돈을 안 쓴다고 가정</t>
  </si>
  <si>
    <t xml:space="preserve">강 → 방파제 해금까지 기대 마릿수</t>
  </si>
  <si>
    <t xml:space="preserve">방파제 → 배낚시 해금까지 기대 마릿수</t>
  </si>
  <si>
    <t xml:space="preserve">장비 4종 최고 등급까지 총비용 (원)</t>
  </si>
  <si>
    <t xml:space="preserve">배낚시로 총비용을 벌려면 기대 마릿수</t>
  </si>
  <si>
    <t xml:space="preserve">배낚시 기대 판매가 기준</t>
  </si>
  <si>
    <t xml:space="preserve">부캉이까지 기대 입질 수 (떡밥)</t>
  </si>
  <si>
    <t xml:space="preserve">부캉이까지 기대 입질 수 (황금 미끼)</t>
  </si>
  <si>
    <t xml:space="preserve">배낚시 기대 판매가: 가장 가까이 (원)</t>
  </si>
  <si>
    <t xml:space="preserve">캐스팅 게이지 0</t>
  </si>
  <si>
    <t xml:space="preserve">배낚시 기대 판매가: 가장 멀리 (원)</t>
  </si>
  <si>
    <t xml:space="preserve">캐스팅 게이지 끝</t>
  </si>
  <si>
    <t xml:space="preserve">그물 전체 강화 비용 (원)</t>
  </si>
  <si>
    <t xml:space="preserve">작은 그물 ~ 황금 그물</t>
  </si>
  <si>
    <t xml:space="preserve">작은 그물 배낚시 분당 수입 (원)</t>
  </si>
  <si>
    <t xml:space="preserve">황금 그물 배낚시 분당 수입 (원)</t>
  </si>
  <si>
    <t xml:space="preserve">부산 이용권 1장 시간 (초)</t>
  </si>
  <si>
    <t xml:space="preserve">부산 도감 완성 시 +30초</t>
  </si>
  <si>
    <t xml:space="preserve">살림망 칸 수 (실내 도감 완성 시)</t>
  </si>
  <si>
    <t xml:space="preserve">기본 대 적정 구간 (가장 쉬운 붕어)</t>
  </si>
  <si>
    <t xml:space="preserve">장력 0~1 중 초록 구간 폭</t>
  </si>
  <si>
    <t xml:space="preserve">기본 대 적정 구간 (오륙도 돗돔)</t>
  </si>
  <si>
    <t xml:space="preserve">최고 대 적정 구간 (오륙도 돗돔)</t>
  </si>
  <si>
    <t xml:space="preserve">가정 (값을 바꾸면 모든 시트가 다시 계산됩니다)</t>
  </si>
  <si>
    <t xml:space="preserve">파란 글자·노란 칸이 입력값입니다. 게임 값은 index.html 맨 위 CONFIG에 있고, 이 표를 바꿔도 게임은 바뀌지 않습니다.</t>
  </si>
  <si>
    <t xml:space="preserve">출처 / 설명</t>
  </si>
  <si>
    <t xml:space="preserve">살림망 칸 수</t>
  </si>
  <si>
    <t xml:space="preserve">CONFIG.keepNetSize</t>
  </si>
  <si>
    <t xml:space="preserve">크기 분포 지수 (떡밥)</t>
  </si>
  <si>
    <t xml:space="preserve">rollCatch: t = 난수^지수, 길이 = 최소 + (최대−최소)×t. 지수가 클수록 작은 개체가 흔함</t>
  </si>
  <si>
    <t xml:space="preserve">크기 지수 행운 감소</t>
  </si>
  <si>
    <t xml:space="preserve">지수 = max(0.9, 1.8 − 미끼 행운×0.6)</t>
  </si>
  <si>
    <t xml:space="preserve">희귀 가중치 행운 계수</t>
  </si>
  <si>
    <t xml:space="preserve">출현 가중치 × (1 + 행운×등급번호×0.35)</t>
  </si>
  <si>
    <t xml:space="preserve">선호 방식 출현 배수</t>
  </si>
  <si>
    <t xml:space="preserve">CONFIG.methodSpawnBonus — 지금 방식을 좋아하는 물고기가 더 자주 나옴</t>
  </si>
  <si>
    <t xml:space="preserve">부캉이 기본 확률 (입질 1회당)</t>
  </si>
  <si>
    <t xml:space="preserve">CONFIG.bukangi.baseChance</t>
  </si>
  <si>
    <t xml:space="preserve">부캉이 행운 배수</t>
  </si>
  <si>
    <t xml:space="preserve">확률 = 기본 × (1 + 미끼 행운×배수)</t>
  </si>
  <si>
    <t xml:space="preserve">CONFIG.busan.ticketSeconds</t>
  </si>
  <si>
    <t xml:space="preserve">튜토리얼 보상 (원)</t>
  </si>
  <si>
    <t xml:space="preserve">CONFIG.tutorial.reward</t>
  </si>
  <si>
    <t xml:space="preserve">거리 1.0 = 몇 m</t>
  </si>
  <si>
    <t xml:space="preserve">CONFIG.maxMeters (화면 표시용)</t>
  </si>
  <si>
    <t xml:space="preserve">난이도 1일 때 장력 구간 축소</t>
  </si>
  <si>
    <t xml:space="preserve">CONFIG.reel.zoneShrinkByDiff</t>
  </si>
  <si>
    <t xml:space="preserve">선호 방식 장력 구간 배수</t>
  </si>
  <si>
    <t xml:space="preserve">CONFIG.methodMatch.zoneMul</t>
  </si>
  <si>
    <t xml:space="preserve">비선호 방식 장력 구간 배수</t>
  </si>
  <si>
    <t xml:space="preserve">CONFIG.methodMismatch.zoneMul</t>
  </si>
  <si>
    <t xml:space="preserve">선호 방식 저항 배수</t>
  </si>
  <si>
    <t xml:space="preserve">CONFIG.methodMatch.forceMul</t>
  </si>
  <si>
    <t xml:space="preserve">비선호 방식 저항 배수</t>
  </si>
  <si>
    <t xml:space="preserve">CONFIG.methodMismatch.forceMul</t>
  </si>
  <si>
    <t xml:space="preserve">물고기 기본 당김</t>
  </si>
  <si>
    <t xml:space="preserve">CONFIG.reel.baseForce (+난이도×hardForce)</t>
  </si>
  <si>
    <t xml:space="preserve">난이도 비례 당김</t>
  </si>
  <si>
    <t xml:space="preserve">CONFIG.reel.hardForce</t>
  </si>
  <si>
    <t xml:space="preserve">감기 속도 분모 기본값</t>
  </si>
  <si>
    <t xml:space="preserve">실제 감기 속도 = 릴 속도 / (0.75 + 난이도×0.9)</t>
  </si>
  <si>
    <t xml:space="preserve">감기 속도 분모 난이도 계수</t>
  </si>
  <si>
    <t xml:space="preserve">위와 같음</t>
  </si>
  <si>
    <t xml:space="preserve">느슨함 허용 시간 (초)</t>
  </si>
  <si>
    <t xml:space="preserve">CONFIG.reel.slackLimit — 넘으면 바늘 털림</t>
  </si>
  <si>
    <t xml:space="preserve">난이도: 저항 가중</t>
  </si>
  <si>
    <t xml:space="preserve">난이도 = 저항×0.7 + 등급번호×0.05 + 크기t×0.12 (최대 1)</t>
  </si>
  <si>
    <t xml:space="preserve">난이도: 등급당 가중</t>
  </si>
  <si>
    <t xml:space="preserve">난이도: 크기 가중</t>
  </si>
  <si>
    <t xml:space="preserve">캐스팅 등급 배율</t>
  </si>
  <si>
    <t xml:space="preserve">CONFIG.cast.gradeBias — 가중치 × (1+배율)^((파워−0.5)×2×기준등급번호). 파워 0.5면 변화 없음</t>
  </si>
  <si>
    <t xml:space="preserve">가장 가까이 표시 거리 (m)</t>
  </si>
  <si>
    <t xml:space="preserve">CONFIG.cast.nearM</t>
  </si>
  <si>
    <t xml:space="preserve">가장 멀리 표시 거리 (m)</t>
  </si>
  <si>
    <t xml:space="preserve">CONFIG.cast.farM</t>
  </si>
  <si>
    <t xml:space="preserve">가까이 던졌을 때 시작 거리 배수</t>
  </si>
  <si>
    <t xml:space="preserve">CONFIG.cast.startDistNear — 걸린 뒤 끌어올 거리</t>
  </si>
  <si>
    <t xml:space="preserve">그물: 꺼 둔 동안 최대 진행 시간 (시간)</t>
  </si>
  <si>
    <t xml:space="preserve">CONFIG.autoNet.maxOfflineHours</t>
  </si>
  <si>
    <t xml:space="preserve">멀리 던졌을 때 시작 거리 배수</t>
  </si>
  <si>
    <t xml:space="preserve">CONFIG.cast.startDistFar — 도망 거리(1.3)에 더 가까워 위험↑</t>
  </si>
  <si>
    <t xml:space="preserve">등급 기준</t>
  </si>
  <si>
    <t xml:space="preserve">판매 가격이 최소 가격 이상이면 해당 등급입니다. 같은 종이라도 크기에 따라 등급이 달라집니다.</t>
  </si>
  <si>
    <t xml:space="preserve">등급</t>
  </si>
  <si>
    <t xml:space="preserve">최소 가격 (원)</t>
  </si>
  <si>
    <t xml:space="preserve">표시 색</t>
  </si>
  <si>
    <t xml:space="preserve">최대 크기 기준 종 수</t>
  </si>
  <si>
    <t xml:space="preserve">일반</t>
  </si>
  <si>
    <t xml:space="preserve">#a9b4ba</t>
  </si>
  <si>
    <t xml:space="preserve">고급</t>
  </si>
  <si>
    <t xml:space="preserve">#5cc27a</t>
  </si>
  <si>
    <t xml:space="preserve">희귀</t>
  </si>
  <si>
    <t xml:space="preserve">#4aa3ff</t>
  </si>
  <si>
    <t xml:space="preserve">영웅</t>
  </si>
  <si>
    <t xml:space="preserve">#b678ff</t>
  </si>
  <si>
    <t xml:space="preserve">전설</t>
  </si>
  <si>
    <t xml:space="preserve">#ffb627</t>
  </si>
  <si>
    <t xml:space="preserve">특별</t>
  </si>
  <si>
    <t xml:space="preserve">부캉이 전용</t>
  </si>
  <si>
    <t xml:space="preserve">#ff7eb6</t>
  </si>
  <si>
    <t xml:space="preserve">장비 강화</t>
  </si>
  <si>
    <t xml:space="preserve">레벨 1은 처음부터 가진 장비입니다. 비용은 그 레벨로 올릴 때 드는 금액입니다.</t>
  </si>
  <si>
    <t xml:space="preserve">장비</t>
  </si>
  <si>
    <t xml:space="preserve">레벨</t>
  </si>
  <si>
    <t xml:space="preserve">이름</t>
  </si>
  <si>
    <t xml:space="preserve">강화 비용 (원)</t>
  </si>
  <si>
    <t xml:space="preserve">누적 비용 (원)</t>
  </si>
  <si>
    <t xml:space="preserve">수치</t>
  </si>
  <si>
    <t xml:space="preserve">수치 뜻</t>
  </si>
  <si>
    <t xml:space="preserve">부캉이 확률
(입질 1회당)</t>
  </si>
  <si>
    <t xml:space="preserve">부캉이까지
기대 입질 수</t>
  </si>
  <si>
    <t xml:space="preserve">낚싯대</t>
  </si>
  <si>
    <t xml:space="preserve">일반 낚싯대</t>
  </si>
  <si>
    <t xml:space="preserve">적정 장력 구간 폭 (대를 세우면 돌진 흡수 30%)</t>
  </si>
  <si>
    <t xml:space="preserve">카본 낚싯대</t>
  </si>
  <si>
    <t xml:space="preserve">적정 장력 구간 폭 (대를 세우면 돌진 흡수 38%)</t>
  </si>
  <si>
    <t xml:space="preserve">강화 카본대</t>
  </si>
  <si>
    <t xml:space="preserve">적정 장력 구간 폭 (대를 세우면 돌진 흡수 45%)</t>
  </si>
  <si>
    <t xml:space="preserve">마스터 로드</t>
  </si>
  <si>
    <t xml:space="preserve">적정 장력 구간 폭 (대를 세우면 돌진 흡수 52%)</t>
  </si>
  <si>
    <t xml:space="preserve">전설의 장대</t>
  </si>
  <si>
    <t xml:space="preserve">적정 장력 구간 폭 (대를 세우면 돌진 흡수 60%)</t>
  </si>
  <si>
    <t xml:space="preserve">릴</t>
  </si>
  <si>
    <t xml:space="preserve">기본 스피닝릴</t>
  </si>
  <si>
    <t xml:space="preserve">감기 속도 (거리/초)</t>
  </si>
  <si>
    <t xml:space="preserve">정밀 스피닝릴</t>
  </si>
  <si>
    <t xml:space="preserve">하이기어 릴</t>
  </si>
  <si>
    <t xml:space="preserve">전동 릴</t>
  </si>
  <si>
    <t xml:space="preserve">명인의 릴</t>
  </si>
  <si>
    <t xml:space="preserve">낚싯줄</t>
  </si>
  <si>
    <t xml:space="preserve">나일론 2호</t>
  </si>
  <si>
    <t xml:space="preserve">장력 초과를 버티는 시간 (초)</t>
  </si>
  <si>
    <t xml:space="preserve">나일론 4호</t>
  </si>
  <si>
    <t xml:space="preserve">카본 5호</t>
  </si>
  <si>
    <t xml:space="preserve">PE 3호</t>
  </si>
  <si>
    <t xml:space="preserve">초강력 PE</t>
  </si>
  <si>
    <t xml:space="preserve">미끼</t>
  </si>
  <si>
    <t xml:space="preserve">떡밥</t>
  </si>
  <si>
    <t xml:space="preserve">미끼 행운 (희귀 출현·큰 개체·부캉이)</t>
  </si>
  <si>
    <t xml:space="preserve">지렁이</t>
  </si>
  <si>
    <t xml:space="preserve">크릴</t>
  </si>
  <si>
    <t xml:space="preserve">생미끼</t>
  </si>
  <si>
    <t xml:space="preserve">황금 미끼</t>
  </si>
  <si>
    <t xml:space="preserve">전체 최고 등급까지 합계</t>
  </si>
  <si>
    <t xml:space="preserve">물고기 표</t>
  </si>
  <si>
    <t xml:space="preserve">가격은 평균 길이 기준가 × (길이 ÷ 평균 길이)². 기대 판매가는 떡밥(행운 0) 기준 크기 분포로 계산합니다.</t>
  </si>
  <si>
    <t xml:space="preserve">ID</t>
  </si>
  <si>
    <t xml:space="preserve">선호 방식</t>
  </si>
  <si>
    <t xml:space="preserve">부산 전용</t>
  </si>
  <si>
    <t xml:space="preserve">최소 길이
(cm)</t>
  </si>
  <si>
    <t xml:space="preserve">최대 길이
(cm)</t>
  </si>
  <si>
    <t xml:space="preserve">기준가
(원)</t>
  </si>
  <si>
    <t xml:space="preserve">저항
(0~1)</t>
  </si>
  <si>
    <t xml:space="preserve">평균 길이
(cm)</t>
  </si>
  <si>
    <t xml:space="preserve">최소 크기
가격 (원)</t>
  </si>
  <si>
    <t xml:space="preserve">최대 크기
가격 (원)</t>
  </si>
  <si>
    <t xml:space="preserve">1마리 기대
판매가 (원)</t>
  </si>
  <si>
    <t xml:space="preserve">최소 등급</t>
  </si>
  <si>
    <t xml:space="preserve">등급 번호
(최대)</t>
  </si>
  <si>
    <t xml:space="preserve">최대 등급</t>
  </si>
  <si>
    <t xml:space="preserve">난이도
최소</t>
  </si>
  <si>
    <t xml:space="preserve">난이도
최대</t>
  </si>
  <si>
    <t xml:space="preserve">적정 구간
기본 대·최대 난이도</t>
  </si>
  <si>
    <t xml:space="preserve">적정 구간
최고 대·최대 난이도</t>
  </si>
  <si>
    <t xml:space="preserve">기준가 등급
번호 (출현 가중)</t>
  </si>
  <si>
    <t xml:space="preserve">bungeo</t>
  </si>
  <si>
    <t xml:space="preserve">붕어</t>
  </si>
  <si>
    <t xml:space="preserve">찌낚시</t>
  </si>
  <si>
    <t xml:space="preserve">hyangeo</t>
  </si>
  <si>
    <t xml:space="preserve">향어</t>
  </si>
  <si>
    <t xml:space="preserve">ingeo</t>
  </si>
  <si>
    <t xml:space="preserve">잉어</t>
  </si>
  <si>
    <t xml:space="preserve">pirami</t>
  </si>
  <si>
    <t xml:space="preserve">피라미</t>
  </si>
  <si>
    <t xml:space="preserve">megi</t>
  </si>
  <si>
    <t xml:space="preserve">메기</t>
  </si>
  <si>
    <t xml:space="preserve">릴낚시</t>
  </si>
  <si>
    <t xml:space="preserve">sogari</t>
  </si>
  <si>
    <t xml:space="preserve">쏘가리</t>
  </si>
  <si>
    <t xml:space="preserve">jangeo</t>
  </si>
  <si>
    <t xml:space="preserve">민물장어</t>
  </si>
  <si>
    <t xml:space="preserve">cheolgap</t>
  </si>
  <si>
    <t xml:space="preserve">철갑상어</t>
  </si>
  <si>
    <t xml:space="preserve">mangdung</t>
  </si>
  <si>
    <t xml:space="preserve">망둥어</t>
  </si>
  <si>
    <t xml:space="preserve">jeongaengi</t>
  </si>
  <si>
    <t xml:space="preserve">전갱이</t>
  </si>
  <si>
    <t xml:space="preserve">godeungeo</t>
  </si>
  <si>
    <t xml:space="preserve">고등어</t>
  </si>
  <si>
    <t xml:space="preserve">ureok</t>
  </si>
  <si>
    <t xml:space="preserve">우럭</t>
  </si>
  <si>
    <t xml:space="preserve">gamseong</t>
  </si>
  <si>
    <t xml:space="preserve">감성돔</t>
  </si>
  <si>
    <t xml:space="preserve">nongeo</t>
  </si>
  <si>
    <t xml:space="preserve">농어</t>
  </si>
  <si>
    <t xml:space="preserve">bengedom</t>
  </si>
  <si>
    <t xml:space="preserve">벵에돔</t>
  </si>
  <si>
    <t xml:space="preserve">doldom</t>
  </si>
  <si>
    <t xml:space="preserve">돌돔</t>
  </si>
  <si>
    <t xml:space="preserve">galchi</t>
  </si>
  <si>
    <t xml:space="preserve">갈치</t>
  </si>
  <si>
    <t xml:space="preserve">gwangeo</t>
  </si>
  <si>
    <t xml:space="preserve">광어</t>
  </si>
  <si>
    <t xml:space="preserve">chamdom</t>
  </si>
  <si>
    <t xml:space="preserve">참돔</t>
  </si>
  <si>
    <t xml:space="preserve">bangeo</t>
  </si>
  <si>
    <t xml:space="preserve">방어</t>
  </si>
  <si>
    <t xml:space="preserve">busiri</t>
  </si>
  <si>
    <t xml:space="preserve">부시리</t>
  </si>
  <si>
    <t xml:space="preserve">chamchi</t>
  </si>
  <si>
    <t xml:space="preserve">참다랑어</t>
  </si>
  <si>
    <t xml:space="preserve">hwanggeum</t>
  </si>
  <si>
    <t xml:space="preserve">황금 고등어</t>
  </si>
  <si>
    <t xml:space="preserve">예</t>
  </si>
  <si>
    <t xml:space="preserve">eungalchi</t>
  </si>
  <si>
    <t xml:space="preserve">해운대 은갈치</t>
  </si>
  <si>
    <t xml:space="preserve">dageumbari</t>
  </si>
  <si>
    <t xml:space="preserve">태종대 다금바리</t>
  </si>
  <si>
    <t xml:space="preserve">dotdom</t>
  </si>
  <si>
    <t xml:space="preserve">오륙도 돗돔</t>
  </si>
  <si>
    <t xml:space="preserve">낚시터별 출현표</t>
  </si>
  <si>
    <t xml:space="preserve">출현 확률 = 가중치 ÷ 같은 낚시터 가중치 합. 부캉이, 방식 출현 배수, 미끼 행운은 빼고 떡밥·방식 무관 기준입니다.</t>
  </si>
  <si>
    <t xml:space="preserve">번호</t>
  </si>
  <si>
    <t xml:space="preserve">낚시터</t>
  </si>
  <si>
    <t xml:space="preserve">해금 비용 (원)</t>
  </si>
  <si>
    <t xml:space="preserve">추천 방식</t>
  </si>
  <si>
    <t xml:space="preserve">출현 종 수</t>
  </si>
  <si>
    <t xml:space="preserve">다음 낚시터 해금까지
기대 마릿수</t>
  </si>
  <si>
    <t xml:space="preserve">전설 등급이
나올 수 있는 종</t>
  </si>
  <si>
    <t xml:space="preserve">기대 판매가
가장 가까이 (원)</t>
  </si>
  <si>
    <t xml:space="preserve">기대 판매가
가장 멀리 (원)</t>
  </si>
  <si>
    <t xml:space="preserve">0</t>
  </si>
  <si>
    <t xml:space="preserve">실내 낚시터</t>
  </si>
  <si>
    <t xml:space="preserve">1</t>
  </si>
  <si>
    <t xml:space="preserve">강</t>
  </si>
  <si>
    <t xml:space="preserve">2</t>
  </si>
  <si>
    <t xml:space="preserve">방파제</t>
  </si>
  <si>
    <t xml:space="preserve">3</t>
  </si>
  <si>
    <t xml:space="preserve">배낚시</t>
  </si>
  <si>
    <t xml:space="preserve">-</t>
  </si>
  <si>
    <t xml:space="preserve">SP</t>
  </si>
  <si>
    <t xml:space="preserve">부산</t>
  </si>
  <si>
    <t xml:space="preserve">부산 이용권 1장</t>
  </si>
  <si>
    <t xml:space="preserve">출현 상세</t>
  </si>
  <si>
    <t xml:space="preserve">물고기 ID</t>
  </si>
  <si>
    <t xml:space="preserve">가중치</t>
  </si>
  <si>
    <t xml:space="preserve">출현 확률</t>
  </si>
  <si>
    <t xml:space="preserve">기대 판매가 기여
(확률×기대가, 원)</t>
  </si>
  <si>
    <t xml:space="preserve">가중치
가장 가까이</t>
  </si>
  <si>
    <t xml:space="preserve">가중치
가장 멀리</t>
  </si>
  <si>
    <t xml:space="preserve">기여
가장 가까이 (원)</t>
  </si>
  <si>
    <t xml:space="preserve">기여
가장 멀리 (원)</t>
  </si>
  <si>
    <t xml:space="preserve">기준가 등급
번호</t>
  </si>
  <si>
    <t xml:space="preserve">그물 (자동 낚시)</t>
  </si>
  <si>
    <t xml:space="preserve">그물은 일정 시간마다 지금 낚시터 물고기 1마리를 잡습니다(부캉이 제외). 그물 칸이 차면 멈추고, 게임을 꺼 둔 동안에도 진행됩니다.</t>
  </si>
  <si>
    <t xml:space="preserve">물고기 질은 캐스팅 거리 효과와 같은 식입니다: 가중치 × (1+캐스팅 등급 배율)^(질 × 기준가 등급 번호). 질 0 = 게이지 한가운데, 1 = 가장 멀리 던진 것과 같음. 행운은 미끼 행운 대신 쓰입니다.</t>
  </si>
  <si>
    <t xml:space="preserve">구입·강화 비용 (원)</t>
  </si>
  <si>
    <t xml:space="preserve">물고기 질</t>
  </si>
  <si>
    <t xml:space="preserve">행운</t>
  </si>
  <si>
    <t xml:space="preserve">크기 분포 지수</t>
  </si>
  <si>
    <t xml:space="preserve">간격 (초)</t>
  </si>
  <si>
    <t xml:space="preserve">칸 수</t>
  </si>
  <si>
    <t xml:space="preserve">가득 차는 시간 (분)</t>
  </si>
  <si>
    <t xml:space="preserve">1마리 기대가
강 (원)</t>
  </si>
  <si>
    <t xml:space="preserve">1마리 기대가
방파제 (원)</t>
  </si>
  <si>
    <t xml:space="preserve">1마리 기대가
배낚시 (원)</t>
  </si>
  <si>
    <t xml:space="preserve">분당 수입
강 (원)</t>
  </si>
  <si>
    <t xml:space="preserve">분당 수입
방파제 (원)</t>
  </si>
  <si>
    <t xml:space="preserve">분당 수입
배낚시 (원)</t>
  </si>
  <si>
    <t xml:space="preserve">비용 회수
강 (분)</t>
  </si>
  <si>
    <t xml:space="preserve">비용 회수
방파제 (분)</t>
  </si>
  <si>
    <t xml:space="preserve">비용 회수
배낚시 (분)</t>
  </si>
  <si>
    <t xml:space="preserve">작은 그물</t>
  </si>
  <si>
    <t xml:space="preserve">자망</t>
  </si>
  <si>
    <t xml:space="preserve">나일론 정치망</t>
  </si>
  <si>
    <t xml:space="preserve">대형 정치망</t>
  </si>
  <si>
    <t xml:space="preserve">황금 그물</t>
  </si>
  <si>
    <t xml:space="preserve">도감 완성 보상</t>
  </si>
  <si>
    <t xml:space="preserve">낚시터의 물고기를 모두 한 번 이상 잡으면 받는 작은 편의 효과입니다. 부산은 부산 전용 어종 기준입니다.</t>
  </si>
  <si>
    <t xml:space="preserve">채워야 할 종 수</t>
  </si>
  <si>
    <t xml:space="preserve">보상</t>
  </si>
  <si>
    <t xml:space="preserve">효과 종류</t>
  </si>
  <si>
    <t xml:space="preserve">게임에서 쓰이는 곳</t>
  </si>
  <si>
    <t xml:space="preserve">살림망 +2칸</t>
  </si>
  <si>
    <t xml:space="preserve">net</t>
  </si>
  <si>
    <t xml:space="preserve">살림망 칸 수에 더함</t>
  </si>
  <si>
    <t xml:space="preserve">챔질 판정 10% 넓어짐</t>
  </si>
  <si>
    <t xml:space="preserve">hook</t>
  </si>
  <si>
    <t xml:space="preserve">챔질 게이지 구간·찌 반응 시간에 (1+수치)를 곱함</t>
  </si>
  <si>
    <t xml:space="preserve">느슨함 허용 +0.3초</t>
  </si>
  <si>
    <t xml:space="preserve">slack</t>
  </si>
  <si>
    <t xml:space="preserve">느슨함 허용 시간에 더함</t>
  </si>
  <si>
    <t xml:space="preserve">입질 대기 10% 단축</t>
  </si>
  <si>
    <t xml:space="preserve">wait</t>
  </si>
  <si>
    <t xml:space="preserve">입질 대기 시간에 (1−수치)를 곱함</t>
  </si>
  <si>
    <t xml:space="preserve">부산 이용 시간 +30초</t>
  </si>
  <si>
    <t xml:space="preserve">busan</t>
  </si>
  <si>
    <t xml:space="preserve">부산 이용권 1장 시간에 더함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</si>
</sst>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;\(#,##0\);\-"/>
    <numFmt numFmtId="166" formatCode="#,##0"/>
    <numFmt numFmtId="167" formatCode="0"/>
    <numFmt numFmtId="168" formatCode="0.0%"/>
    <numFmt numFmtId="169" formatCode="General"/>
    <numFmt numFmtId="170" formatCode="0%"/>
    <numFmt numFmtId="171" formatCode="0.00"/>
    <numFmt numFmtId="172" formatCode="0.00%"/>
    <numFmt numFmtId="173" formatCode="0.0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Noto Sans CJK SC"/>
      <family val="0"/>
      <charset val="1"/>
    </font>
    <font>
      <sz val="10"/>
      <color rgb="FF555555"/>
      <name val="Noto Sans CJK SC"/>
      <family val="0"/>
      <charset val="1"/>
    </font>
    <font>
      <b val="true"/>
      <sz val="10"/>
      <color rgb="FFFFFFFF"/>
      <name val="Noto Sans CJK SC"/>
      <family val="0"/>
      <charset val="1"/>
    </font>
    <font>
      <sz val="10"/>
      <name val="Noto Sans CJK SC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FF"/>
      <name val="Noto Sans CJK SC"/>
      <family val="0"/>
      <charset val="1"/>
    </font>
    <font>
      <sz val="10"/>
      <name val="Arial"/>
      <family val="0"/>
      <charset val="1"/>
    </font>
    <font>
      <b val="true"/>
      <sz val="10"/>
      <name val="Noto Sans CJK SC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2"/>
    </font>
    <font>
      <sz val="10"/>
      <name val="Noto Sans CJK SC"/>
      <family val="2"/>
    </font>
    <font>
      <b val="true"/>
      <sz val="11"/>
      <name val="Noto Sans CJK SC"/>
      <family val="0"/>
      <charset val="1"/>
    </font>
    <font>
      <sz val="10"/>
      <color rgb="FF008000"/>
      <name val="Noto Sans CJK SC"/>
      <family val="2"/>
    </font>
  </fonts>
  <fills count="10">
    <fill>
      <patternFill patternType="none"/>
    </fill>
    <fill>
      <patternFill patternType="gray125"/>
    </fill>
    <fill>
      <patternFill patternType="solid">
        <fgColor rgb="FF2B3A4A"/>
        <bgColor rgb="FF333300"/>
      </patternFill>
    </fill>
    <fill>
      <patternFill patternType="solid">
        <fgColor rgb="FFFFF9D6"/>
        <bgColor rgb="FFFFFFFF"/>
      </patternFill>
    </fill>
    <fill>
      <patternFill patternType="solid">
        <fgColor rgb="FFA9B4BA"/>
        <bgColor rgb="FFC9CED3"/>
      </patternFill>
    </fill>
    <fill>
      <patternFill patternType="solid">
        <fgColor rgb="FF5CC27A"/>
        <bgColor rgb="FF339966"/>
      </patternFill>
    </fill>
    <fill>
      <patternFill patternType="solid">
        <fgColor rgb="FF4AA3FF"/>
        <bgColor rgb="FF3366FF"/>
      </patternFill>
    </fill>
    <fill>
      <patternFill patternType="solid">
        <fgColor rgb="FFB678FF"/>
        <bgColor rgb="FFFF7EB6"/>
      </patternFill>
    </fill>
    <fill>
      <patternFill patternType="solid">
        <fgColor rgb="FFFFB627"/>
        <bgColor rgb="FFFF9900"/>
      </patternFill>
    </fill>
    <fill>
      <patternFill patternType="solid">
        <fgColor rgb="FFFF7EB6"/>
        <bgColor rgb="FFFF99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CED3"/>
      </left>
      <right style="thin">
        <color rgb="FFC9CED3"/>
      </right>
      <top style="thin">
        <color rgb="FFC9CED3"/>
      </top>
      <bottom style="thin">
        <color rgb="FFC9CED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9CED3"/>
      <rgbColor rgb="FF808080"/>
      <rgbColor rgb="FF4AA3FF"/>
      <rgbColor rgb="FF993366"/>
      <rgbColor rgb="FFFFF9D6"/>
      <rgbColor rgb="FFCCFFFF"/>
      <rgbColor rgb="FF660066"/>
      <rgbColor rgb="FFFF7EB6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B678FF"/>
      <rgbColor rgb="FFFFCC99"/>
      <rgbColor rgb="FF3366FF"/>
      <rgbColor rgb="FF5CC27A"/>
      <rgbColor rgb="FF99CC00"/>
      <rgbColor rgb="FFFFB627"/>
      <rgbColor rgb="FFFF9900"/>
      <rgbColor rgb="FFFF6600"/>
      <rgbColor rgb="FF555555"/>
      <rgbColor rgb="FFA9B4BA"/>
      <rgbColor rgb="FF003366"/>
      <rgbColor rgb="FF339966"/>
      <rgbColor rgb="FF003300"/>
      <rgbColor rgb="FF333300"/>
      <rgbColor rgb="FF993300"/>
      <rgbColor rgb="FF993366"/>
      <rgbColor rgb="FF333399"/>
      <rgbColor rgb="FF2B3A4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1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2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4"/>
    <col collapsed="false" customWidth="true" hidden="false" outlineLevel="0" max="3" min="3" style="0" width="34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1.5" hidden="false" customHeight="true" outlineLevel="0" collapsed="false">
      <c r="A4" s="3" t="s">
        <v>2</v>
      </c>
      <c r="B4" s="3" t="s">
        <v>3</v>
      </c>
      <c r="C4" s="3" t="s">
        <v>4</v>
      </c>
    </row>
    <row r="5" customFormat="false" ht="15" hidden="false" customHeight="false" outlineLevel="0" collapsed="false">
      <c r="A5" s="4" t="s">
        <v>5</v>
      </c>
      <c r="B5" s="5" t="n">
        <f aca="false">낚시터!F5</f>
        <v>15.9562934336509</v>
      </c>
      <c r="C5" s="4" t="s">
        <v>6</v>
      </c>
    </row>
    <row r="6" customFormat="false" ht="15" hidden="false" customHeight="false" outlineLevel="0" collapsed="false">
      <c r="A6" s="4" t="s">
        <v>7</v>
      </c>
      <c r="B6" s="5" t="n">
        <f aca="false">낚시터!F6</f>
        <v>47.0148669809363</v>
      </c>
      <c r="C6" s="4" t="s">
        <v>6</v>
      </c>
    </row>
    <row r="7" customFormat="false" ht="15" hidden="false" customHeight="false" outlineLevel="0" collapsed="false">
      <c r="A7" s="4" t="s">
        <v>8</v>
      </c>
      <c r="B7" s="5" t="n">
        <f aca="false">낚시터!F7</f>
        <v>122.221537481253</v>
      </c>
      <c r="C7" s="4" t="s">
        <v>6</v>
      </c>
    </row>
    <row r="8" customFormat="false" ht="15" hidden="false" customHeight="false" outlineLevel="0" collapsed="false">
      <c r="A8" s="4" t="s">
        <v>9</v>
      </c>
      <c r="B8" s="5" t="n">
        <f aca="false">낚시터!F8</f>
        <v>758.269279988315</v>
      </c>
      <c r="C8" s="4" t="s">
        <v>6</v>
      </c>
    </row>
    <row r="9" customFormat="false" ht="15" hidden="false" customHeight="false" outlineLevel="0" collapsed="false">
      <c r="A9" s="4" t="s">
        <v>10</v>
      </c>
      <c r="B9" s="5" t="n">
        <f aca="false">낚시터!F9</f>
        <v>1944.80772047492</v>
      </c>
      <c r="C9" s="4" t="s">
        <v>6</v>
      </c>
    </row>
    <row r="10" customFormat="false" ht="15" hidden="false" customHeight="false" outlineLevel="0" collapsed="false">
      <c r="A10" s="4" t="s">
        <v>11</v>
      </c>
      <c r="B10" s="6" t="n">
        <f aca="false">낚시터!G5</f>
        <v>0</v>
      </c>
      <c r="C10" s="4" t="s">
        <v>12</v>
      </c>
    </row>
    <row r="11" customFormat="false" ht="15" hidden="false" customHeight="false" outlineLevel="0" collapsed="false">
      <c r="A11" s="4" t="s">
        <v>13</v>
      </c>
      <c r="B11" s="6" t="n">
        <f aca="false">낚시터!G6</f>
        <v>32</v>
      </c>
      <c r="C11" s="4" t="s">
        <v>12</v>
      </c>
    </row>
    <row r="12" customFormat="false" ht="15" hidden="false" customHeight="false" outlineLevel="0" collapsed="false">
      <c r="A12" s="4" t="s">
        <v>14</v>
      </c>
      <c r="B12" s="6" t="n">
        <f aca="false">낚시터!G7</f>
        <v>33</v>
      </c>
      <c r="C12" s="4" t="s">
        <v>12</v>
      </c>
    </row>
    <row r="13" customFormat="false" ht="15" hidden="false" customHeight="false" outlineLevel="0" collapsed="false">
      <c r="A13" s="4" t="s">
        <v>15</v>
      </c>
      <c r="B13" s="5" t="n">
        <f aca="false">장비!D25</f>
        <v>124700</v>
      </c>
      <c r="C13" s="4"/>
    </row>
    <row r="14" customFormat="false" ht="15" hidden="false" customHeight="false" outlineLevel="0" collapsed="false">
      <c r="A14" s="4" t="s">
        <v>16</v>
      </c>
      <c r="B14" s="6" t="n">
        <f aca="false">ROUNDUP(B13/낚시터!F8,0)</f>
        <v>165</v>
      </c>
      <c r="C14" s="4" t="s">
        <v>17</v>
      </c>
    </row>
    <row r="15" customFormat="false" ht="15" hidden="false" customHeight="false" outlineLevel="0" collapsed="false">
      <c r="A15" s="4" t="s">
        <v>18</v>
      </c>
      <c r="B15" s="6" t="n">
        <f aca="false">장비!I20</f>
        <v>250</v>
      </c>
      <c r="C15" s="4"/>
    </row>
    <row r="16" customFormat="false" ht="15" hidden="false" customHeight="false" outlineLevel="0" collapsed="false">
      <c r="A16" s="4" t="s">
        <v>19</v>
      </c>
      <c r="B16" s="6" t="n">
        <f aca="false">장비!I24</f>
        <v>96</v>
      </c>
      <c r="C16" s="4"/>
    </row>
    <row r="17" customFormat="false" ht="15" hidden="false" customHeight="false" outlineLevel="0" collapsed="false">
      <c r="A17" s="4" t="s">
        <v>20</v>
      </c>
      <c r="B17" s="5" t="n">
        <f aca="false">낚시터!I8</f>
        <v>588.258441092311</v>
      </c>
      <c r="C17" s="4" t="s">
        <v>21</v>
      </c>
    </row>
    <row r="18" customFormat="false" ht="15" hidden="false" customHeight="false" outlineLevel="0" collapsed="false">
      <c r="A18" s="4" t="s">
        <v>22</v>
      </c>
      <c r="B18" s="5" t="n">
        <f aca="false">낚시터!J8</f>
        <v>959.735272708961</v>
      </c>
      <c r="C18" s="4" t="s">
        <v>23</v>
      </c>
    </row>
    <row r="19" customFormat="false" ht="15" hidden="false" customHeight="false" outlineLevel="0" collapsed="false">
      <c r="A19" s="4" t="s">
        <v>24</v>
      </c>
      <c r="B19" s="5" t="n">
        <f aca="false">그물!D10</f>
        <v>635000</v>
      </c>
      <c r="C19" s="4" t="s">
        <v>25</v>
      </c>
    </row>
    <row r="20" customFormat="false" ht="15" hidden="false" customHeight="false" outlineLevel="0" collapsed="false">
      <c r="A20" s="4" t="s">
        <v>26</v>
      </c>
      <c r="B20" s="5" t="n">
        <f aca="false">그물!P6</f>
        <v>446.025217121152</v>
      </c>
      <c r="C20" s="4"/>
    </row>
    <row r="21" customFormat="false" ht="15" hidden="false" customHeight="false" outlineLevel="0" collapsed="false">
      <c r="A21" s="4" t="s">
        <v>27</v>
      </c>
      <c r="B21" s="5" t="n">
        <f aca="false">그물!P10</f>
        <v>2568.32699576596</v>
      </c>
      <c r="C21" s="4"/>
    </row>
    <row r="22" customFormat="false" ht="15" hidden="false" customHeight="false" outlineLevel="0" collapsed="false">
      <c r="A22" s="4" t="s">
        <v>28</v>
      </c>
      <c r="B22" s="7" t="n">
        <f aca="false">가정!$B$11</f>
        <v>150</v>
      </c>
      <c r="C22" s="4" t="s">
        <v>29</v>
      </c>
    </row>
    <row r="23" customFormat="false" ht="15" hidden="false" customHeight="false" outlineLevel="0" collapsed="false">
      <c r="A23" s="4" t="s">
        <v>30</v>
      </c>
      <c r="B23" s="7" t="n">
        <f aca="false">가정!$B$4+'도감 보상'!E5</f>
        <v>17</v>
      </c>
      <c r="C23" s="4"/>
    </row>
    <row r="24" customFormat="false" ht="15" hidden="false" customHeight="false" outlineLevel="0" collapsed="false">
      <c r="A24" s="4" t="s">
        <v>31</v>
      </c>
      <c r="B24" s="8" t="n">
        <f aca="false">물고기!R5</f>
        <v>0.24495</v>
      </c>
      <c r="C24" s="4" t="s">
        <v>32</v>
      </c>
    </row>
    <row r="25" customFormat="false" ht="15" hidden="false" customHeight="false" outlineLevel="0" collapsed="false">
      <c r="A25" s="4" t="s">
        <v>33</v>
      </c>
      <c r="B25" s="8" t="n">
        <f aca="false">물고기!R30</f>
        <v>0.138</v>
      </c>
      <c r="C25" s="4"/>
    </row>
    <row r="26" customFormat="false" ht="15" hidden="false" customHeight="false" outlineLevel="0" collapsed="false">
      <c r="A26" s="4" t="s">
        <v>34</v>
      </c>
      <c r="B26" s="8" t="n">
        <f aca="false">물고기!S30</f>
        <v>0.23575</v>
      </c>
      <c r="C26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3" min="3" style="0" width="80"/>
  </cols>
  <sheetData>
    <row r="1" customFormat="false" ht="20.1" hidden="false" customHeight="false" outlineLevel="0" collapsed="false">
      <c r="A1" s="1" t="s">
        <v>35</v>
      </c>
    </row>
    <row r="2" customFormat="false" ht="15" hidden="false" customHeight="false" outlineLevel="0" collapsed="false">
      <c r="A2" s="2" t="s">
        <v>36</v>
      </c>
    </row>
    <row r="3" customFormat="false" ht="31.5" hidden="false" customHeight="true" outlineLevel="0" collapsed="false">
      <c r="A3" s="3" t="s">
        <v>2</v>
      </c>
      <c r="B3" s="3" t="s">
        <v>3</v>
      </c>
      <c r="C3" s="3" t="s">
        <v>37</v>
      </c>
    </row>
    <row r="4" customFormat="false" ht="15" hidden="false" customHeight="false" outlineLevel="0" collapsed="false">
      <c r="A4" s="4" t="s">
        <v>38</v>
      </c>
      <c r="B4" s="9" t="n">
        <v>15</v>
      </c>
      <c r="C4" s="4" t="s">
        <v>39</v>
      </c>
    </row>
    <row r="5" customFormat="false" ht="15" hidden="false" customHeight="false" outlineLevel="0" collapsed="false">
      <c r="A5" s="4" t="s">
        <v>40</v>
      </c>
      <c r="B5" s="9" t="n">
        <v>1.8</v>
      </c>
      <c r="C5" s="4" t="s">
        <v>41</v>
      </c>
    </row>
    <row r="6" customFormat="false" ht="15" hidden="false" customHeight="false" outlineLevel="0" collapsed="false">
      <c r="A6" s="4" t="s">
        <v>42</v>
      </c>
      <c r="B6" s="9" t="n">
        <v>0.6</v>
      </c>
      <c r="C6" s="4" t="s">
        <v>43</v>
      </c>
    </row>
    <row r="7" customFormat="false" ht="15" hidden="false" customHeight="false" outlineLevel="0" collapsed="false">
      <c r="A7" s="4" t="s">
        <v>44</v>
      </c>
      <c r="B7" s="9" t="n">
        <v>0.35</v>
      </c>
      <c r="C7" s="4" t="s">
        <v>45</v>
      </c>
    </row>
    <row r="8" customFormat="false" ht="15" hidden="false" customHeight="false" outlineLevel="0" collapsed="false">
      <c r="A8" s="4" t="s">
        <v>46</v>
      </c>
      <c r="B8" s="9" t="n">
        <v>1.5</v>
      </c>
      <c r="C8" s="4" t="s">
        <v>47</v>
      </c>
    </row>
    <row r="9" customFormat="false" ht="15" hidden="false" customHeight="false" outlineLevel="0" collapsed="false">
      <c r="A9" s="4" t="s">
        <v>48</v>
      </c>
      <c r="B9" s="10" t="n">
        <v>0.004</v>
      </c>
      <c r="C9" s="4" t="s">
        <v>49</v>
      </c>
    </row>
    <row r="10" customFormat="false" ht="15" hidden="false" customHeight="false" outlineLevel="0" collapsed="false">
      <c r="A10" s="4" t="s">
        <v>50</v>
      </c>
      <c r="B10" s="9" t="n">
        <v>2</v>
      </c>
      <c r="C10" s="4" t="s">
        <v>51</v>
      </c>
    </row>
    <row r="11" customFormat="false" ht="15" hidden="false" customHeight="false" outlineLevel="0" collapsed="false">
      <c r="A11" s="4" t="s">
        <v>28</v>
      </c>
      <c r="B11" s="9" t="n">
        <v>150</v>
      </c>
      <c r="C11" s="4" t="s">
        <v>52</v>
      </c>
    </row>
    <row r="12" customFormat="false" ht="15" hidden="false" customHeight="false" outlineLevel="0" collapsed="false">
      <c r="A12" s="4" t="s">
        <v>53</v>
      </c>
      <c r="B12" s="9" t="n">
        <v>150</v>
      </c>
      <c r="C12" s="4" t="s">
        <v>54</v>
      </c>
    </row>
    <row r="13" customFormat="false" ht="15" hidden="false" customHeight="false" outlineLevel="0" collapsed="false">
      <c r="A13" s="4" t="s">
        <v>55</v>
      </c>
      <c r="B13" s="9" t="n">
        <v>30</v>
      </c>
      <c r="C13" s="4" t="s">
        <v>56</v>
      </c>
    </row>
    <row r="14" customFormat="false" ht="15" hidden="false" customHeight="false" outlineLevel="0" collapsed="false">
      <c r="A14" s="4" t="s">
        <v>57</v>
      </c>
      <c r="B14" s="9" t="n">
        <v>0.5</v>
      </c>
      <c r="C14" s="4" t="s">
        <v>58</v>
      </c>
    </row>
    <row r="15" customFormat="false" ht="15" hidden="false" customHeight="false" outlineLevel="0" collapsed="false">
      <c r="A15" s="4" t="s">
        <v>59</v>
      </c>
      <c r="B15" s="9" t="n">
        <v>1.15</v>
      </c>
      <c r="C15" s="4" t="s">
        <v>60</v>
      </c>
    </row>
    <row r="16" customFormat="false" ht="15" hidden="false" customHeight="false" outlineLevel="0" collapsed="false">
      <c r="A16" s="4" t="s">
        <v>61</v>
      </c>
      <c r="B16" s="9" t="n">
        <v>0.88</v>
      </c>
      <c r="C16" s="4" t="s">
        <v>62</v>
      </c>
    </row>
    <row r="17" customFormat="false" ht="15" hidden="false" customHeight="false" outlineLevel="0" collapsed="false">
      <c r="A17" s="4" t="s">
        <v>63</v>
      </c>
      <c r="B17" s="9" t="n">
        <v>0.88</v>
      </c>
      <c r="C17" s="4" t="s">
        <v>64</v>
      </c>
    </row>
    <row r="18" customFormat="false" ht="15" hidden="false" customHeight="false" outlineLevel="0" collapsed="false">
      <c r="A18" s="4" t="s">
        <v>65</v>
      </c>
      <c r="B18" s="9" t="n">
        <v>1.12</v>
      </c>
      <c r="C18" s="4" t="s">
        <v>66</v>
      </c>
    </row>
    <row r="19" customFormat="false" ht="15" hidden="false" customHeight="false" outlineLevel="0" collapsed="false">
      <c r="A19" s="4" t="s">
        <v>67</v>
      </c>
      <c r="B19" s="9" t="n">
        <v>0.24</v>
      </c>
      <c r="C19" s="4" t="s">
        <v>68</v>
      </c>
    </row>
    <row r="20" customFormat="false" ht="15" hidden="false" customHeight="false" outlineLevel="0" collapsed="false">
      <c r="A20" s="4" t="s">
        <v>69</v>
      </c>
      <c r="B20" s="9" t="n">
        <v>0.36</v>
      </c>
      <c r="C20" s="4" t="s">
        <v>70</v>
      </c>
    </row>
    <row r="21" customFormat="false" ht="15" hidden="false" customHeight="false" outlineLevel="0" collapsed="false">
      <c r="A21" s="4" t="s">
        <v>71</v>
      </c>
      <c r="B21" s="9" t="n">
        <v>0.75</v>
      </c>
      <c r="C21" s="4" t="s">
        <v>72</v>
      </c>
    </row>
    <row r="22" customFormat="false" ht="15" hidden="false" customHeight="false" outlineLevel="0" collapsed="false">
      <c r="A22" s="4" t="s">
        <v>73</v>
      </c>
      <c r="B22" s="9" t="n">
        <v>0.9</v>
      </c>
      <c r="C22" s="4" t="s">
        <v>74</v>
      </c>
    </row>
    <row r="23" customFormat="false" ht="15" hidden="false" customHeight="false" outlineLevel="0" collapsed="false">
      <c r="A23" s="4" t="s">
        <v>75</v>
      </c>
      <c r="B23" s="9" t="n">
        <v>2.2</v>
      </c>
      <c r="C23" s="4" t="s">
        <v>76</v>
      </c>
    </row>
    <row r="24" customFormat="false" ht="15" hidden="false" customHeight="false" outlineLevel="0" collapsed="false">
      <c r="A24" s="4" t="s">
        <v>77</v>
      </c>
      <c r="B24" s="9" t="n">
        <v>0.7</v>
      </c>
      <c r="C24" s="4" t="s">
        <v>78</v>
      </c>
    </row>
    <row r="25" customFormat="false" ht="15" hidden="false" customHeight="false" outlineLevel="0" collapsed="false">
      <c r="A25" s="4" t="s">
        <v>79</v>
      </c>
      <c r="B25" s="9" t="n">
        <v>0.05</v>
      </c>
      <c r="C25" s="4" t="s">
        <v>74</v>
      </c>
    </row>
    <row r="26" customFormat="false" ht="15" hidden="false" customHeight="false" outlineLevel="0" collapsed="false">
      <c r="A26" s="4" t="s">
        <v>80</v>
      </c>
      <c r="B26" s="9" t="n">
        <v>0.12</v>
      </c>
      <c r="C26" s="4" t="s">
        <v>74</v>
      </c>
    </row>
    <row r="27" customFormat="false" ht="15" hidden="false" customHeight="false" outlineLevel="0" collapsed="false">
      <c r="A27" s="4" t="s">
        <v>81</v>
      </c>
      <c r="B27" s="9" t="n">
        <v>0.35</v>
      </c>
      <c r="C27" s="4" t="s">
        <v>82</v>
      </c>
    </row>
    <row r="28" customFormat="false" ht="15" hidden="false" customHeight="false" outlineLevel="0" collapsed="false">
      <c r="A28" s="4" t="s">
        <v>83</v>
      </c>
      <c r="B28" s="9" t="n">
        <v>12</v>
      </c>
      <c r="C28" s="4" t="s">
        <v>84</v>
      </c>
    </row>
    <row r="29" customFormat="false" ht="15" hidden="false" customHeight="false" outlineLevel="0" collapsed="false">
      <c r="A29" s="4" t="s">
        <v>85</v>
      </c>
      <c r="B29" s="9" t="n">
        <v>40</v>
      </c>
      <c r="C29" s="4" t="s">
        <v>86</v>
      </c>
    </row>
    <row r="30" customFormat="false" ht="15" hidden="false" customHeight="false" outlineLevel="0" collapsed="false">
      <c r="A30" s="4" t="s">
        <v>87</v>
      </c>
      <c r="B30" s="9" t="n">
        <v>0.85</v>
      </c>
      <c r="C30" s="4" t="s">
        <v>88</v>
      </c>
    </row>
    <row r="31" customFormat="false" ht="15" hidden="false" customHeight="false" outlineLevel="0" collapsed="false">
      <c r="A31" s="4" t="s">
        <v>89</v>
      </c>
      <c r="B31" s="9" t="n">
        <v>24</v>
      </c>
      <c r="C31" s="4" t="s">
        <v>90</v>
      </c>
    </row>
    <row r="32" customFormat="false" ht="15" hidden="false" customHeight="false" outlineLevel="0" collapsed="false">
      <c r="A32" s="4" t="s">
        <v>91</v>
      </c>
      <c r="B32" s="9" t="n">
        <v>1.15</v>
      </c>
      <c r="C32" s="4" t="s">
        <v>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6"/>
    <col collapsed="false" customWidth="true" hidden="false" outlineLevel="0" max="3" min="3" style="0" width="12"/>
    <col collapsed="false" customWidth="true" hidden="false" outlineLevel="0" max="4" min="4" style="0" width="20"/>
  </cols>
  <sheetData>
    <row r="1" customFormat="false" ht="16.15" hidden="false" customHeight="false" outlineLevel="0" collapsed="false">
      <c r="A1" s="1" t="s">
        <v>93</v>
      </c>
    </row>
    <row r="2" customFormat="false" ht="15" hidden="false" customHeight="false" outlineLevel="0" collapsed="false">
      <c r="A2" s="2" t="s">
        <v>94</v>
      </c>
    </row>
    <row r="3" customFormat="false" ht="31.5" hidden="false" customHeight="true" outlineLevel="0" collapsed="false">
      <c r="A3" s="3" t="s">
        <v>95</v>
      </c>
      <c r="B3" s="3" t="s">
        <v>96</v>
      </c>
      <c r="C3" s="3" t="s">
        <v>97</v>
      </c>
      <c r="D3" s="3" t="s">
        <v>98</v>
      </c>
    </row>
    <row r="4" customFormat="false" ht="15" hidden="false" customHeight="false" outlineLevel="0" collapsed="false">
      <c r="A4" s="11" t="s">
        <v>99</v>
      </c>
      <c r="B4" s="12" t="n">
        <v>0</v>
      </c>
      <c r="C4" s="13" t="s">
        <v>100</v>
      </c>
      <c r="D4" s="14" t="n">
        <f aca="false">COUNTIF(물고기!$O$5:$O$40,A4)</f>
        <v>4</v>
      </c>
    </row>
    <row r="5" customFormat="false" ht="15" hidden="false" customHeight="false" outlineLevel="0" collapsed="false">
      <c r="A5" s="11" t="s">
        <v>101</v>
      </c>
      <c r="B5" s="12" t="n">
        <v>60</v>
      </c>
      <c r="C5" s="15" t="s">
        <v>102</v>
      </c>
      <c r="D5" s="14" t="n">
        <f aca="false">COUNTIF(물고기!$O$5:$O$40,A5)</f>
        <v>4</v>
      </c>
    </row>
    <row r="6" customFormat="false" ht="15" hidden="false" customHeight="false" outlineLevel="0" collapsed="false">
      <c r="A6" s="11" t="s">
        <v>103</v>
      </c>
      <c r="B6" s="12" t="n">
        <v>200</v>
      </c>
      <c r="C6" s="16" t="s">
        <v>104</v>
      </c>
      <c r="D6" s="14" t="n">
        <f aca="false">COUNTIF(물고기!$O$5:$O$40,A6)</f>
        <v>3</v>
      </c>
    </row>
    <row r="7" customFormat="false" ht="15" hidden="false" customHeight="false" outlineLevel="0" collapsed="false">
      <c r="A7" s="11" t="s">
        <v>105</v>
      </c>
      <c r="B7" s="12" t="n">
        <v>700</v>
      </c>
      <c r="C7" s="17" t="s">
        <v>106</v>
      </c>
      <c r="D7" s="14" t="n">
        <f aca="false">COUNTIF(물고기!$O$5:$O$40,A7)</f>
        <v>6</v>
      </c>
    </row>
    <row r="8" customFormat="false" ht="15" hidden="false" customHeight="false" outlineLevel="0" collapsed="false">
      <c r="A8" s="11" t="s">
        <v>107</v>
      </c>
      <c r="B8" s="12" t="n">
        <v>2500</v>
      </c>
      <c r="C8" s="18" t="s">
        <v>108</v>
      </c>
      <c r="D8" s="14" t="n">
        <f aca="false">COUNTIF(물고기!$O$5:$O$40,A8)</f>
        <v>9</v>
      </c>
    </row>
    <row r="9" customFormat="false" ht="15" hidden="false" customHeight="false" outlineLevel="0" collapsed="false">
      <c r="A9" s="4" t="s">
        <v>109</v>
      </c>
      <c r="B9" s="4" t="s">
        <v>110</v>
      </c>
      <c r="C9" s="19" t="s">
        <v>111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7"/>
    <col collapsed="false" customWidth="true" hidden="false" outlineLevel="0" max="3" min="3" style="0" width="16"/>
    <col collapsed="false" customWidth="true" hidden="false" outlineLevel="0" max="5" min="4" style="0" width="15"/>
    <col collapsed="false" customWidth="true" hidden="false" outlineLevel="0" max="6" min="6" style="0" width="9"/>
    <col collapsed="false" customWidth="true" hidden="false" outlineLevel="0" max="7" min="7" style="0" width="46"/>
    <col collapsed="false" customWidth="true" hidden="false" outlineLevel="0" max="9" min="8" style="0" width="14"/>
  </cols>
  <sheetData>
    <row r="1" customFormat="false" ht="16.15" hidden="false" customHeight="false" outlineLevel="0" collapsed="false">
      <c r="A1" s="1" t="s">
        <v>112</v>
      </c>
    </row>
    <row r="2" customFormat="false" ht="15" hidden="false" customHeight="false" outlineLevel="0" collapsed="false">
      <c r="A2" s="2" t="s">
        <v>113</v>
      </c>
    </row>
    <row r="4" customFormat="false" ht="31.5" hidden="false" customHeight="true" outlineLevel="0" collapsed="false">
      <c r="A4" s="3" t="s">
        <v>114</v>
      </c>
      <c r="B4" s="3" t="s">
        <v>115</v>
      </c>
      <c r="C4" s="3" t="s">
        <v>116</v>
      </c>
      <c r="D4" s="3" t="s">
        <v>117</v>
      </c>
      <c r="E4" s="3" t="s">
        <v>118</v>
      </c>
      <c r="F4" s="3" t="s">
        <v>119</v>
      </c>
      <c r="G4" s="3" t="s">
        <v>120</v>
      </c>
      <c r="H4" s="3" t="s">
        <v>121</v>
      </c>
      <c r="I4" s="3" t="s">
        <v>122</v>
      </c>
    </row>
    <row r="5" customFormat="false" ht="15" hidden="false" customHeight="false" outlineLevel="0" collapsed="false">
      <c r="A5" s="4" t="s">
        <v>123</v>
      </c>
      <c r="B5" s="14" t="n">
        <v>1</v>
      </c>
      <c r="C5" s="11" t="s">
        <v>124</v>
      </c>
      <c r="D5" s="12" t="n">
        <v>0</v>
      </c>
      <c r="E5" s="20" t="n">
        <f aca="false">SUM($D$5:D5)</f>
        <v>0</v>
      </c>
      <c r="F5" s="21" t="n">
        <v>0.24</v>
      </c>
      <c r="G5" s="4" t="s">
        <v>125</v>
      </c>
    </row>
    <row r="6" customFormat="false" ht="15" hidden="false" customHeight="false" outlineLevel="0" collapsed="false">
      <c r="A6" s="4" t="s">
        <v>123</v>
      </c>
      <c r="B6" s="14" t="n">
        <v>2</v>
      </c>
      <c r="C6" s="11" t="s">
        <v>126</v>
      </c>
      <c r="D6" s="12" t="n">
        <v>200</v>
      </c>
      <c r="E6" s="20" t="n">
        <f aca="false">SUM($D$5:D6)</f>
        <v>200</v>
      </c>
      <c r="F6" s="21" t="n">
        <v>0.28</v>
      </c>
      <c r="G6" s="4" t="s">
        <v>127</v>
      </c>
    </row>
    <row r="7" customFormat="false" ht="15" hidden="false" customHeight="false" outlineLevel="0" collapsed="false">
      <c r="A7" s="4" t="s">
        <v>123</v>
      </c>
      <c r="B7" s="14" t="n">
        <v>3</v>
      </c>
      <c r="C7" s="11" t="s">
        <v>128</v>
      </c>
      <c r="D7" s="12" t="n">
        <v>1200</v>
      </c>
      <c r="E7" s="20" t="n">
        <f aca="false">SUM($D$5:D7)</f>
        <v>1400</v>
      </c>
      <c r="F7" s="21" t="n">
        <v>0.32</v>
      </c>
      <c r="G7" s="4" t="s">
        <v>129</v>
      </c>
    </row>
    <row r="8" customFormat="false" ht="15" hidden="false" customHeight="false" outlineLevel="0" collapsed="false">
      <c r="A8" s="4" t="s">
        <v>123</v>
      </c>
      <c r="B8" s="14" t="n">
        <v>4</v>
      </c>
      <c r="C8" s="11" t="s">
        <v>130</v>
      </c>
      <c r="D8" s="12" t="n">
        <v>6000</v>
      </c>
      <c r="E8" s="20" t="n">
        <f aca="false">SUM($D$5:D8)</f>
        <v>7400</v>
      </c>
      <c r="F8" s="21" t="n">
        <v>0.36</v>
      </c>
      <c r="G8" s="4" t="s">
        <v>131</v>
      </c>
    </row>
    <row r="9" customFormat="false" ht="15" hidden="false" customHeight="false" outlineLevel="0" collapsed="false">
      <c r="A9" s="4" t="s">
        <v>123</v>
      </c>
      <c r="B9" s="14" t="n">
        <v>5</v>
      </c>
      <c r="C9" s="11" t="s">
        <v>132</v>
      </c>
      <c r="D9" s="12" t="n">
        <v>25000</v>
      </c>
      <c r="E9" s="20" t="n">
        <f aca="false">SUM($D$5:D9)</f>
        <v>32400</v>
      </c>
      <c r="F9" s="21" t="n">
        <v>0.41</v>
      </c>
      <c r="G9" s="4" t="s">
        <v>133</v>
      </c>
    </row>
    <row r="10" customFormat="false" ht="15" hidden="false" customHeight="false" outlineLevel="0" collapsed="false">
      <c r="A10" s="4" t="s">
        <v>134</v>
      </c>
      <c r="B10" s="14" t="n">
        <v>1</v>
      </c>
      <c r="C10" s="11" t="s">
        <v>135</v>
      </c>
      <c r="D10" s="12" t="n">
        <v>0</v>
      </c>
      <c r="E10" s="20" t="n">
        <f aca="false">SUM($D$10:D10)</f>
        <v>0</v>
      </c>
      <c r="F10" s="22" t="n">
        <v>0.16</v>
      </c>
      <c r="G10" s="4" t="s">
        <v>136</v>
      </c>
    </row>
    <row r="11" customFormat="false" ht="15" hidden="false" customHeight="false" outlineLevel="0" collapsed="false">
      <c r="A11" s="4" t="s">
        <v>134</v>
      </c>
      <c r="B11" s="14" t="n">
        <v>2</v>
      </c>
      <c r="C11" s="11" t="s">
        <v>137</v>
      </c>
      <c r="D11" s="12" t="n">
        <v>250</v>
      </c>
      <c r="E11" s="20" t="n">
        <f aca="false">SUM($D$10:D11)</f>
        <v>250</v>
      </c>
      <c r="F11" s="22" t="n">
        <v>0.21</v>
      </c>
      <c r="G11" s="4" t="s">
        <v>136</v>
      </c>
    </row>
    <row r="12" customFormat="false" ht="15" hidden="false" customHeight="false" outlineLevel="0" collapsed="false">
      <c r="A12" s="4" t="s">
        <v>134</v>
      </c>
      <c r="B12" s="14" t="n">
        <v>3</v>
      </c>
      <c r="C12" s="11" t="s">
        <v>138</v>
      </c>
      <c r="D12" s="12" t="n">
        <v>1500</v>
      </c>
      <c r="E12" s="20" t="n">
        <f aca="false">SUM($D$10:D12)</f>
        <v>1750</v>
      </c>
      <c r="F12" s="22" t="n">
        <v>0.27</v>
      </c>
      <c r="G12" s="4" t="s">
        <v>136</v>
      </c>
    </row>
    <row r="13" customFormat="false" ht="15" hidden="false" customHeight="false" outlineLevel="0" collapsed="false">
      <c r="A13" s="4" t="s">
        <v>134</v>
      </c>
      <c r="B13" s="14" t="n">
        <v>4</v>
      </c>
      <c r="C13" s="11" t="s">
        <v>139</v>
      </c>
      <c r="D13" s="12" t="n">
        <v>7000</v>
      </c>
      <c r="E13" s="20" t="n">
        <f aca="false">SUM($D$10:D13)</f>
        <v>8750</v>
      </c>
      <c r="F13" s="22" t="n">
        <v>0.34</v>
      </c>
      <c r="G13" s="4" t="s">
        <v>136</v>
      </c>
    </row>
    <row r="14" customFormat="false" ht="15" hidden="false" customHeight="false" outlineLevel="0" collapsed="false">
      <c r="A14" s="4" t="s">
        <v>134</v>
      </c>
      <c r="B14" s="14" t="n">
        <v>5</v>
      </c>
      <c r="C14" s="11" t="s">
        <v>140</v>
      </c>
      <c r="D14" s="12" t="n">
        <v>30000</v>
      </c>
      <c r="E14" s="20" t="n">
        <f aca="false">SUM($D$10:D14)</f>
        <v>38750</v>
      </c>
      <c r="F14" s="22" t="n">
        <v>0.42</v>
      </c>
      <c r="G14" s="4" t="s">
        <v>136</v>
      </c>
    </row>
    <row r="15" customFormat="false" ht="15" hidden="false" customHeight="false" outlineLevel="0" collapsed="false">
      <c r="A15" s="4" t="s">
        <v>141</v>
      </c>
      <c r="B15" s="14" t="n">
        <v>1</v>
      </c>
      <c r="C15" s="11" t="s">
        <v>142</v>
      </c>
      <c r="D15" s="12" t="n">
        <v>0</v>
      </c>
      <c r="E15" s="20" t="n">
        <f aca="false">SUM($D$15:D15)</f>
        <v>0</v>
      </c>
      <c r="F15" s="22" t="n">
        <v>1.2</v>
      </c>
      <c r="G15" s="4" t="s">
        <v>143</v>
      </c>
    </row>
    <row r="16" customFormat="false" ht="15" hidden="false" customHeight="false" outlineLevel="0" collapsed="false">
      <c r="A16" s="4" t="s">
        <v>141</v>
      </c>
      <c r="B16" s="14" t="n">
        <v>2</v>
      </c>
      <c r="C16" s="11" t="s">
        <v>144</v>
      </c>
      <c r="D16" s="12" t="n">
        <v>150</v>
      </c>
      <c r="E16" s="20" t="n">
        <f aca="false">SUM($D$15:D16)</f>
        <v>150</v>
      </c>
      <c r="F16" s="22" t="n">
        <v>1.7</v>
      </c>
      <c r="G16" s="4" t="s">
        <v>143</v>
      </c>
    </row>
    <row r="17" customFormat="false" ht="15" hidden="false" customHeight="false" outlineLevel="0" collapsed="false">
      <c r="A17" s="4" t="s">
        <v>141</v>
      </c>
      <c r="B17" s="14" t="n">
        <v>3</v>
      </c>
      <c r="C17" s="11" t="s">
        <v>145</v>
      </c>
      <c r="D17" s="12" t="n">
        <v>1000</v>
      </c>
      <c r="E17" s="20" t="n">
        <f aca="false">SUM($D$15:D17)</f>
        <v>1150</v>
      </c>
      <c r="F17" s="22" t="n">
        <v>2.4</v>
      </c>
      <c r="G17" s="4" t="s">
        <v>143</v>
      </c>
    </row>
    <row r="18" customFormat="false" ht="15" hidden="false" customHeight="false" outlineLevel="0" collapsed="false">
      <c r="A18" s="4" t="s">
        <v>141</v>
      </c>
      <c r="B18" s="14" t="n">
        <v>4</v>
      </c>
      <c r="C18" s="11" t="s">
        <v>146</v>
      </c>
      <c r="D18" s="12" t="n">
        <v>5000</v>
      </c>
      <c r="E18" s="20" t="n">
        <f aca="false">SUM($D$15:D18)</f>
        <v>6150</v>
      </c>
      <c r="F18" s="22" t="n">
        <v>3.3</v>
      </c>
      <c r="G18" s="4" t="s">
        <v>143</v>
      </c>
    </row>
    <row r="19" customFormat="false" ht="15" hidden="false" customHeight="false" outlineLevel="0" collapsed="false">
      <c r="A19" s="4" t="s">
        <v>141</v>
      </c>
      <c r="B19" s="14" t="n">
        <v>5</v>
      </c>
      <c r="C19" s="11" t="s">
        <v>147</v>
      </c>
      <c r="D19" s="12" t="n">
        <v>22000</v>
      </c>
      <c r="E19" s="20" t="n">
        <f aca="false">SUM($D$15:D19)</f>
        <v>28150</v>
      </c>
      <c r="F19" s="22" t="n">
        <v>4.5</v>
      </c>
      <c r="G19" s="4" t="s">
        <v>143</v>
      </c>
    </row>
    <row r="20" customFormat="false" ht="15" hidden="false" customHeight="false" outlineLevel="0" collapsed="false">
      <c r="A20" s="4" t="s">
        <v>148</v>
      </c>
      <c r="B20" s="14" t="n">
        <v>1</v>
      </c>
      <c r="C20" s="11" t="s">
        <v>149</v>
      </c>
      <c r="D20" s="12" t="n">
        <v>0</v>
      </c>
      <c r="E20" s="20" t="n">
        <f aca="false">SUM($D$20:D20)</f>
        <v>0</v>
      </c>
      <c r="F20" s="21" t="n">
        <v>0</v>
      </c>
      <c r="G20" s="4" t="s">
        <v>150</v>
      </c>
      <c r="H20" s="23" t="n">
        <f aca="false">가정!$B$9*(1+F20*가정!$B$10)</f>
        <v>0.004</v>
      </c>
      <c r="I20" s="24" t="n">
        <f aca="false">ROUND(1/H20,0)</f>
        <v>250</v>
      </c>
    </row>
    <row r="21" customFormat="false" ht="15" hidden="false" customHeight="false" outlineLevel="0" collapsed="false">
      <c r="A21" s="4" t="s">
        <v>148</v>
      </c>
      <c r="B21" s="14" t="n">
        <v>2</v>
      </c>
      <c r="C21" s="11" t="s">
        <v>151</v>
      </c>
      <c r="D21" s="12" t="n">
        <v>100</v>
      </c>
      <c r="E21" s="20" t="n">
        <f aca="false">SUM($D$20:D21)</f>
        <v>100</v>
      </c>
      <c r="F21" s="21" t="n">
        <v>0.15</v>
      </c>
      <c r="G21" s="4" t="s">
        <v>150</v>
      </c>
      <c r="H21" s="23" t="n">
        <f aca="false">가정!$B$9*(1+F21*가정!$B$10)</f>
        <v>0.0052</v>
      </c>
      <c r="I21" s="24" t="n">
        <f aca="false">ROUND(1/H21,0)</f>
        <v>192</v>
      </c>
    </row>
    <row r="22" customFormat="false" ht="15" hidden="false" customHeight="false" outlineLevel="0" collapsed="false">
      <c r="A22" s="4" t="s">
        <v>148</v>
      </c>
      <c r="B22" s="14" t="n">
        <v>3</v>
      </c>
      <c r="C22" s="11" t="s">
        <v>152</v>
      </c>
      <c r="D22" s="12" t="n">
        <v>800</v>
      </c>
      <c r="E22" s="20" t="n">
        <f aca="false">SUM($D$20:D22)</f>
        <v>900</v>
      </c>
      <c r="F22" s="21" t="n">
        <v>0.3</v>
      </c>
      <c r="G22" s="4" t="s">
        <v>150</v>
      </c>
      <c r="H22" s="23" t="n">
        <f aca="false">가정!$B$9*(1+F22*가정!$B$10)</f>
        <v>0.0064</v>
      </c>
      <c r="I22" s="24" t="n">
        <f aca="false">ROUND(1/H22,0)</f>
        <v>156</v>
      </c>
    </row>
    <row r="23" customFormat="false" ht="15" hidden="false" customHeight="false" outlineLevel="0" collapsed="false">
      <c r="A23" s="4" t="s">
        <v>148</v>
      </c>
      <c r="B23" s="14" t="n">
        <v>4</v>
      </c>
      <c r="C23" s="11" t="s">
        <v>153</v>
      </c>
      <c r="D23" s="12" t="n">
        <v>4500</v>
      </c>
      <c r="E23" s="20" t="n">
        <f aca="false">SUM($D$20:D23)</f>
        <v>5400</v>
      </c>
      <c r="F23" s="21" t="n">
        <v>0.5</v>
      </c>
      <c r="G23" s="4" t="s">
        <v>150</v>
      </c>
      <c r="H23" s="23" t="n">
        <f aca="false">가정!$B$9*(1+F23*가정!$B$10)</f>
        <v>0.008</v>
      </c>
      <c r="I23" s="24" t="n">
        <f aca="false">ROUND(1/H23,0)</f>
        <v>125</v>
      </c>
    </row>
    <row r="24" customFormat="false" ht="15" hidden="false" customHeight="false" outlineLevel="0" collapsed="false">
      <c r="A24" s="4" t="s">
        <v>148</v>
      </c>
      <c r="B24" s="14" t="n">
        <v>5</v>
      </c>
      <c r="C24" s="11" t="s">
        <v>154</v>
      </c>
      <c r="D24" s="12" t="n">
        <v>20000</v>
      </c>
      <c r="E24" s="20" t="n">
        <f aca="false">SUM($D$20:D24)</f>
        <v>25400</v>
      </c>
      <c r="F24" s="21" t="n">
        <v>0.8</v>
      </c>
      <c r="G24" s="4" t="s">
        <v>150</v>
      </c>
      <c r="H24" s="23" t="n">
        <f aca="false">가정!$B$9*(1+F24*가정!$B$10)</f>
        <v>0.0104</v>
      </c>
      <c r="I24" s="24" t="n">
        <f aca="false">ROUND(1/H24,0)</f>
        <v>96</v>
      </c>
    </row>
    <row r="25" customFormat="false" ht="15" hidden="false" customHeight="false" outlineLevel="0" collapsed="false">
      <c r="C25" s="25" t="s">
        <v>155</v>
      </c>
      <c r="D25" s="26" t="n">
        <f aca="false">SUM(D5:D24)</f>
        <v>124700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6"/>
    <col collapsed="false" customWidth="true" hidden="false" outlineLevel="0" max="3" min="3" style="0" width="10"/>
    <col collapsed="false" customWidth="true" hidden="false" outlineLevel="0" max="4" min="4" style="0" width="8"/>
    <col collapsed="false" customWidth="true" hidden="false" outlineLevel="0" max="6" min="5" style="0" width="9"/>
    <col collapsed="false" customWidth="true" hidden="false" outlineLevel="0" max="7" min="7" style="0" width="10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1" min="10" style="0" width="11"/>
    <col collapsed="false" customWidth="true" hidden="false" outlineLevel="0" max="12" min="12" style="0" width="12"/>
    <col collapsed="false" customWidth="true" hidden="false" outlineLevel="0" max="15" min="13" style="0" width="9"/>
    <col collapsed="false" customWidth="true" hidden="false" outlineLevel="0" max="17" min="16" style="0" width="8"/>
    <col collapsed="false" customWidth="true" hidden="false" outlineLevel="0" max="20" min="18" style="0" width="14"/>
  </cols>
  <sheetData>
    <row r="1" customFormat="false" ht="16.15" hidden="false" customHeight="false" outlineLevel="0" collapsed="false">
      <c r="A1" s="1" t="s">
        <v>156</v>
      </c>
    </row>
    <row r="2" customFormat="false" ht="15" hidden="false" customHeight="false" outlineLevel="0" collapsed="false">
      <c r="A2" s="2" t="s">
        <v>157</v>
      </c>
    </row>
    <row r="4" customFormat="false" ht="31.5" hidden="false" customHeight="true" outlineLevel="0" collapsed="false">
      <c r="A4" s="3" t="s">
        <v>158</v>
      </c>
      <c r="B4" s="3" t="s">
        <v>116</v>
      </c>
      <c r="C4" s="3" t="s">
        <v>159</v>
      </c>
      <c r="D4" s="3" t="s">
        <v>160</v>
      </c>
      <c r="E4" s="3" t="s">
        <v>161</v>
      </c>
      <c r="F4" s="3" t="s">
        <v>162</v>
      </c>
      <c r="G4" s="3" t="s">
        <v>163</v>
      </c>
      <c r="H4" s="3" t="s">
        <v>164</v>
      </c>
      <c r="I4" s="3" t="s">
        <v>165</v>
      </c>
      <c r="J4" s="3" t="s">
        <v>166</v>
      </c>
      <c r="K4" s="3" t="s">
        <v>167</v>
      </c>
      <c r="L4" s="3" t="s">
        <v>168</v>
      </c>
      <c r="M4" s="3" t="s">
        <v>169</v>
      </c>
      <c r="N4" s="3" t="s">
        <v>170</v>
      </c>
      <c r="O4" s="3" t="s">
        <v>171</v>
      </c>
      <c r="P4" s="3" t="s">
        <v>172</v>
      </c>
      <c r="Q4" s="3" t="s">
        <v>173</v>
      </c>
      <c r="R4" s="3" t="s">
        <v>174</v>
      </c>
      <c r="S4" s="3" t="s">
        <v>175</v>
      </c>
      <c r="T4" s="3" t="s">
        <v>176</v>
      </c>
    </row>
    <row r="5" customFormat="false" ht="15" hidden="false" customHeight="false" outlineLevel="0" collapsed="false">
      <c r="A5" s="4" t="s">
        <v>177</v>
      </c>
      <c r="B5" s="11" t="s">
        <v>178</v>
      </c>
      <c r="C5" s="11" t="s">
        <v>179</v>
      </c>
      <c r="D5" s="4"/>
      <c r="E5" s="9" t="n">
        <v>12</v>
      </c>
      <c r="F5" s="9" t="n">
        <v>30</v>
      </c>
      <c r="G5" s="12" t="n">
        <v>12</v>
      </c>
      <c r="H5" s="22" t="n">
        <v>0.15</v>
      </c>
      <c r="I5" s="27" t="n">
        <f aca="false">(E5+F5)/2</f>
        <v>21</v>
      </c>
      <c r="J5" s="20" t="n">
        <f aca="false">MAX(1,ROUND(G5*(E5/I5)^2,0))</f>
        <v>4</v>
      </c>
      <c r="K5" s="20" t="n">
        <f aca="false">MAX(1,ROUND(G5*(F5/I5)^2,0))</f>
        <v>24</v>
      </c>
      <c r="L5" s="20" t="n">
        <f aca="false">G5*(E5^2+2*E5*(F5-E5)/(1+가정!$B$5)+(F5-E5)^2/(1+2*가정!$B$5))/I5^2</f>
        <v>10.0332107998479</v>
      </c>
      <c r="M5" s="4" t="str">
        <f aca="false">INDEX(등급!$A$4:$A$8,MATCH(J5,등급!$B$4:$B$8,1))</f>
        <v>일반</v>
      </c>
      <c r="N5" s="14" t="n">
        <f aca="false">MATCH(K5,등급!$B$4:$B$8,1)-1</f>
        <v>0</v>
      </c>
      <c r="O5" s="4" t="str">
        <f aca="false">INDEX(등급!$A$4:$A$8,N5+1)</f>
        <v>일반</v>
      </c>
      <c r="P5" s="28" t="n">
        <f aca="false">MIN(1,H5*가정!$B$24+(MATCH(J5,등급!$B$4:$B$8,1)-1)*가정!$B$25)</f>
        <v>0.105</v>
      </c>
      <c r="Q5" s="28" t="n">
        <f aca="false">MIN(1,H5*가정!$B$24+N5*가정!$B$25+가정!$B$26)</f>
        <v>0.225</v>
      </c>
      <c r="R5" s="29" t="n">
        <f aca="false">장비!$F$5*(1-Q5*가정!$B$14)*가정!$B$15</f>
        <v>0.24495</v>
      </c>
      <c r="S5" s="29" t="n">
        <f aca="false">장비!$F$9*(1-Q5*가정!$B$14)*가정!$B$15</f>
        <v>0.41845625</v>
      </c>
      <c r="T5" s="14" t="n">
        <f aca="false">MATCH(G5,등급!$B$4:$B$8,1)-1</f>
        <v>0</v>
      </c>
    </row>
    <row r="6" customFormat="false" ht="15" hidden="false" customHeight="false" outlineLevel="0" collapsed="false">
      <c r="A6" s="4" t="s">
        <v>180</v>
      </c>
      <c r="B6" s="11" t="s">
        <v>181</v>
      </c>
      <c r="C6" s="11" t="s">
        <v>179</v>
      </c>
      <c r="D6" s="4"/>
      <c r="E6" s="9" t="n">
        <v>25</v>
      </c>
      <c r="F6" s="9" t="n">
        <v>50</v>
      </c>
      <c r="G6" s="12" t="n">
        <v>30</v>
      </c>
      <c r="H6" s="22" t="n">
        <v>0.3</v>
      </c>
      <c r="I6" s="27" t="n">
        <f aca="false">(E6+F6)/2</f>
        <v>37.5</v>
      </c>
      <c r="J6" s="20" t="n">
        <f aca="false">MAX(1,ROUND(G6*(E6/I6)^2,0))</f>
        <v>13</v>
      </c>
      <c r="K6" s="20" t="n">
        <f aca="false">MAX(1,ROUND(G6*(F6/I6)^2,0))</f>
        <v>53</v>
      </c>
      <c r="L6" s="20" t="n">
        <f aca="false">G6*(E6^2+2*E6*(F6-E6)/(1+가정!$B$5)+(F6-E6)^2/(1+2*가정!$B$5))/I6^2</f>
        <v>25.7556935817805</v>
      </c>
      <c r="M6" s="4" t="str">
        <f aca="false">INDEX(등급!$A$4:$A$8,MATCH(J6,등급!$B$4:$B$8,1))</f>
        <v>일반</v>
      </c>
      <c r="N6" s="14" t="n">
        <f aca="false">MATCH(K6,등급!$B$4:$B$8,1)-1</f>
        <v>0</v>
      </c>
      <c r="O6" s="4" t="str">
        <f aca="false">INDEX(등급!$A$4:$A$8,N6+1)</f>
        <v>일반</v>
      </c>
      <c r="P6" s="28" t="n">
        <f aca="false">MIN(1,H6*가정!$B$24+(MATCH(J6,등급!$B$4:$B$8,1)-1)*가정!$B$25)</f>
        <v>0.21</v>
      </c>
      <c r="Q6" s="28" t="n">
        <f aca="false">MIN(1,H6*가정!$B$24+N6*가정!$B$25+가정!$B$26)</f>
        <v>0.33</v>
      </c>
      <c r="R6" s="29" t="n">
        <f aca="false">장비!$F$5*(1-Q6*가정!$B$14)*가정!$B$15</f>
        <v>0.23046</v>
      </c>
      <c r="S6" s="29" t="n">
        <f aca="false">장비!$F$9*(1-Q6*가정!$B$14)*가정!$B$15</f>
        <v>0.3937025</v>
      </c>
      <c r="T6" s="14" t="n">
        <f aca="false">MATCH(G6,등급!$B$4:$B$8,1)-1</f>
        <v>0</v>
      </c>
    </row>
    <row r="7" customFormat="false" ht="15" hidden="false" customHeight="false" outlineLevel="0" collapsed="false">
      <c r="A7" s="4" t="s">
        <v>182</v>
      </c>
      <c r="B7" s="11" t="s">
        <v>183</v>
      </c>
      <c r="C7" s="11" t="s">
        <v>179</v>
      </c>
      <c r="D7" s="4"/>
      <c r="E7" s="9" t="n">
        <v>30</v>
      </c>
      <c r="F7" s="9" t="n">
        <v>80</v>
      </c>
      <c r="G7" s="12" t="n">
        <v>60</v>
      </c>
      <c r="H7" s="22" t="n">
        <v>0.45</v>
      </c>
      <c r="I7" s="27" t="n">
        <f aca="false">(E7+F7)/2</f>
        <v>55</v>
      </c>
      <c r="J7" s="20" t="n">
        <f aca="false">MAX(1,ROUND(G7*(E7/I7)^2,0))</f>
        <v>18</v>
      </c>
      <c r="K7" s="20" t="n">
        <f aca="false">MAX(1,ROUND(G7*(F7/I7)^2,0))</f>
        <v>127</v>
      </c>
      <c r="L7" s="20" t="n">
        <f aca="false">G7*(E7^2+2*E7*(F7-E7)/(1+가정!$B$5)+(F7-E7)^2/(1+2*가정!$B$5))/I7^2</f>
        <v>49.882449566244</v>
      </c>
      <c r="M7" s="4" t="str">
        <f aca="false">INDEX(등급!$A$4:$A$8,MATCH(J7,등급!$B$4:$B$8,1))</f>
        <v>일반</v>
      </c>
      <c r="N7" s="14" t="n">
        <f aca="false">MATCH(K7,등급!$B$4:$B$8,1)-1</f>
        <v>1</v>
      </c>
      <c r="O7" s="4" t="str">
        <f aca="false">INDEX(등급!$A$4:$A$8,N7+1)</f>
        <v>고급</v>
      </c>
      <c r="P7" s="28" t="n">
        <f aca="false">MIN(1,H7*가정!$B$24+(MATCH(J7,등급!$B$4:$B$8,1)-1)*가정!$B$25)</f>
        <v>0.315</v>
      </c>
      <c r="Q7" s="28" t="n">
        <f aca="false">MIN(1,H7*가정!$B$24+N7*가정!$B$25+가정!$B$26)</f>
        <v>0.485</v>
      </c>
      <c r="R7" s="29" t="n">
        <f aca="false">장비!$F$5*(1-Q7*가정!$B$14)*가정!$B$15</f>
        <v>0.20907</v>
      </c>
      <c r="S7" s="29" t="n">
        <f aca="false">장비!$F$9*(1-Q7*가정!$B$14)*가정!$B$15</f>
        <v>0.35716125</v>
      </c>
      <c r="T7" s="14" t="n">
        <f aca="false">MATCH(G7,등급!$B$4:$B$8,1)-1</f>
        <v>1</v>
      </c>
    </row>
    <row r="8" customFormat="false" ht="15" hidden="false" customHeight="false" outlineLevel="0" collapsed="false">
      <c r="A8" s="4" t="s">
        <v>184</v>
      </c>
      <c r="B8" s="11" t="s">
        <v>185</v>
      </c>
      <c r="C8" s="11" t="s">
        <v>179</v>
      </c>
      <c r="D8" s="4"/>
      <c r="E8" s="9" t="n">
        <v>6</v>
      </c>
      <c r="F8" s="9" t="n">
        <v>15</v>
      </c>
      <c r="G8" s="12" t="n">
        <v>6</v>
      </c>
      <c r="H8" s="22" t="n">
        <v>0.1</v>
      </c>
      <c r="I8" s="27" t="n">
        <f aca="false">(E8+F8)/2</f>
        <v>10.5</v>
      </c>
      <c r="J8" s="20" t="n">
        <f aca="false">MAX(1,ROUND(G8*(E8/I8)^2,0))</f>
        <v>2</v>
      </c>
      <c r="K8" s="20" t="n">
        <f aca="false">MAX(1,ROUND(G8*(F8/I8)^2,0))</f>
        <v>12</v>
      </c>
      <c r="L8" s="20" t="n">
        <f aca="false">G8*(E8^2+2*E8*(F8-E8)/(1+가정!$B$5)+(F8-E8)^2/(1+2*가정!$B$5))/I8^2</f>
        <v>5.01660539992395</v>
      </c>
      <c r="M8" s="4" t="str">
        <f aca="false">INDEX(등급!$A$4:$A$8,MATCH(J8,등급!$B$4:$B$8,1))</f>
        <v>일반</v>
      </c>
      <c r="N8" s="14" t="n">
        <f aca="false">MATCH(K8,등급!$B$4:$B$8,1)-1</f>
        <v>0</v>
      </c>
      <c r="O8" s="4" t="str">
        <f aca="false">INDEX(등급!$A$4:$A$8,N8+1)</f>
        <v>일반</v>
      </c>
      <c r="P8" s="28" t="n">
        <f aca="false">MIN(1,H8*가정!$B$24+(MATCH(J8,등급!$B$4:$B$8,1)-1)*가정!$B$25)</f>
        <v>0.07</v>
      </c>
      <c r="Q8" s="28" t="n">
        <f aca="false">MIN(1,H8*가정!$B$24+N8*가정!$B$25+가정!$B$26)</f>
        <v>0.19</v>
      </c>
      <c r="R8" s="29" t="n">
        <f aca="false">장비!$F$5*(1-Q8*가정!$B$14)*가정!$B$15</f>
        <v>0.24978</v>
      </c>
      <c r="S8" s="29" t="n">
        <f aca="false">장비!$F$9*(1-Q8*가정!$B$14)*가정!$B$15</f>
        <v>0.4267075</v>
      </c>
      <c r="T8" s="14" t="n">
        <f aca="false">MATCH(G8,등급!$B$4:$B$8,1)-1</f>
        <v>0</v>
      </c>
    </row>
    <row r="9" customFormat="false" ht="15" hidden="false" customHeight="false" outlineLevel="0" collapsed="false">
      <c r="A9" s="4" t="s">
        <v>186</v>
      </c>
      <c r="B9" s="11" t="s">
        <v>187</v>
      </c>
      <c r="C9" s="11" t="s">
        <v>188</v>
      </c>
      <c r="D9" s="4"/>
      <c r="E9" s="9" t="n">
        <v>30</v>
      </c>
      <c r="F9" s="9" t="n">
        <v>90</v>
      </c>
      <c r="G9" s="12" t="n">
        <v>70</v>
      </c>
      <c r="H9" s="22" t="n">
        <v>0.5</v>
      </c>
      <c r="I9" s="27" t="n">
        <f aca="false">(E9+F9)/2</f>
        <v>60</v>
      </c>
      <c r="J9" s="20" t="n">
        <f aca="false">MAX(1,ROUND(G9*(E9/I9)^2,0))</f>
        <v>18</v>
      </c>
      <c r="K9" s="20" t="n">
        <f aca="false">MAX(1,ROUND(G9*(F9/I9)^2,0))</f>
        <v>158</v>
      </c>
      <c r="L9" s="20" t="n">
        <f aca="false">G9*(E9^2+2*E9*(F9-E9)/(1+가정!$B$5)+(F9-E9)^2/(1+2*가정!$B$5))/I9^2</f>
        <v>57.7173913043478</v>
      </c>
      <c r="M9" s="4" t="str">
        <f aca="false">INDEX(등급!$A$4:$A$8,MATCH(J9,등급!$B$4:$B$8,1))</f>
        <v>일반</v>
      </c>
      <c r="N9" s="14" t="n">
        <f aca="false">MATCH(K9,등급!$B$4:$B$8,1)-1</f>
        <v>1</v>
      </c>
      <c r="O9" s="4" t="str">
        <f aca="false">INDEX(등급!$A$4:$A$8,N9+1)</f>
        <v>고급</v>
      </c>
      <c r="P9" s="28" t="n">
        <f aca="false">MIN(1,H9*가정!$B$24+(MATCH(J9,등급!$B$4:$B$8,1)-1)*가정!$B$25)</f>
        <v>0.35</v>
      </c>
      <c r="Q9" s="28" t="n">
        <f aca="false">MIN(1,H9*가정!$B$24+N9*가정!$B$25+가정!$B$26)</f>
        <v>0.52</v>
      </c>
      <c r="R9" s="29" t="n">
        <f aca="false">장비!$F$5*(1-Q9*가정!$B$14)*가정!$B$15</f>
        <v>0.20424</v>
      </c>
      <c r="S9" s="29" t="n">
        <f aca="false">장비!$F$9*(1-Q9*가정!$B$14)*가정!$B$15</f>
        <v>0.34891</v>
      </c>
      <c r="T9" s="14" t="n">
        <f aca="false">MATCH(G9,등급!$B$4:$B$8,1)-1</f>
        <v>1</v>
      </c>
    </row>
    <row r="10" customFormat="false" ht="15" hidden="false" customHeight="false" outlineLevel="0" collapsed="false">
      <c r="A10" s="4" t="s">
        <v>189</v>
      </c>
      <c r="B10" s="11" t="s">
        <v>190</v>
      </c>
      <c r="C10" s="11" t="s">
        <v>188</v>
      </c>
      <c r="D10" s="4"/>
      <c r="E10" s="9" t="n">
        <v>20</v>
      </c>
      <c r="F10" s="9" t="n">
        <v>55</v>
      </c>
      <c r="G10" s="12" t="n">
        <v>160</v>
      </c>
      <c r="H10" s="22" t="n">
        <v>0.55</v>
      </c>
      <c r="I10" s="27" t="n">
        <f aca="false">(E10+F10)/2</f>
        <v>37.5</v>
      </c>
      <c r="J10" s="20" t="n">
        <f aca="false">MAX(1,ROUND(G10*(E10/I10)^2,0))</f>
        <v>46</v>
      </c>
      <c r="K10" s="20" t="n">
        <f aca="false">MAX(1,ROUND(G10*(F10/I10)^2,0))</f>
        <v>344</v>
      </c>
      <c r="L10" s="20" t="n">
        <f aca="false">G10*(E10^2+2*E10*(F10-E10)/(1+가정!$B$5)+(F10-E10)^2/(1+2*가정!$B$5))/I10^2</f>
        <v>132.699516908213</v>
      </c>
      <c r="M10" s="4" t="str">
        <f aca="false">INDEX(등급!$A$4:$A$8,MATCH(J10,등급!$B$4:$B$8,1))</f>
        <v>일반</v>
      </c>
      <c r="N10" s="14" t="n">
        <f aca="false">MATCH(K10,등급!$B$4:$B$8,1)-1</f>
        <v>2</v>
      </c>
      <c r="O10" s="4" t="str">
        <f aca="false">INDEX(등급!$A$4:$A$8,N10+1)</f>
        <v>희귀</v>
      </c>
      <c r="P10" s="28" t="n">
        <f aca="false">MIN(1,H10*가정!$B$24+(MATCH(J10,등급!$B$4:$B$8,1)-1)*가정!$B$25)</f>
        <v>0.385</v>
      </c>
      <c r="Q10" s="28" t="n">
        <f aca="false">MIN(1,H10*가정!$B$24+N10*가정!$B$25+가정!$B$26)</f>
        <v>0.605</v>
      </c>
      <c r="R10" s="29" t="n">
        <f aca="false">장비!$F$5*(1-Q10*가정!$B$14)*가정!$B$15</f>
        <v>0.19251</v>
      </c>
      <c r="S10" s="29" t="n">
        <f aca="false">장비!$F$9*(1-Q10*가정!$B$14)*가정!$B$15</f>
        <v>0.32887125</v>
      </c>
      <c r="T10" s="14" t="n">
        <f aca="false">MATCH(G10,등급!$B$4:$B$8,1)-1</f>
        <v>1</v>
      </c>
    </row>
    <row r="11" customFormat="false" ht="15" hidden="false" customHeight="false" outlineLevel="0" collapsed="false">
      <c r="A11" s="4" t="s">
        <v>191</v>
      </c>
      <c r="B11" s="11" t="s">
        <v>192</v>
      </c>
      <c r="C11" s="11" t="s">
        <v>188</v>
      </c>
      <c r="D11" s="4"/>
      <c r="E11" s="9" t="n">
        <v>40</v>
      </c>
      <c r="F11" s="9" t="n">
        <v>100</v>
      </c>
      <c r="G11" s="12" t="n">
        <v>400</v>
      </c>
      <c r="H11" s="22" t="n">
        <v>0.7</v>
      </c>
      <c r="I11" s="27" t="n">
        <f aca="false">(E11+F11)/2</f>
        <v>70</v>
      </c>
      <c r="J11" s="20" t="n">
        <f aca="false">MAX(1,ROUND(G11*(E11/I11)^2,0))</f>
        <v>131</v>
      </c>
      <c r="K11" s="20" t="n">
        <f aca="false">MAX(1,ROUND(G11*(F11/I11)^2,0))</f>
        <v>816</v>
      </c>
      <c r="L11" s="20" t="n">
        <f aca="false">G11*(E11^2+2*E11*(F11-E11)/(1+가정!$B$5)+(F11-E11)^2/(1+2*가정!$B$5))/I11^2</f>
        <v>334.44035999493</v>
      </c>
      <c r="M11" s="4" t="str">
        <f aca="false">INDEX(등급!$A$4:$A$8,MATCH(J11,등급!$B$4:$B$8,1))</f>
        <v>고급</v>
      </c>
      <c r="N11" s="14" t="n">
        <f aca="false">MATCH(K11,등급!$B$4:$B$8,1)-1</f>
        <v>3</v>
      </c>
      <c r="O11" s="4" t="str">
        <f aca="false">INDEX(등급!$A$4:$A$8,N11+1)</f>
        <v>영웅</v>
      </c>
      <c r="P11" s="28" t="n">
        <f aca="false">MIN(1,H11*가정!$B$24+(MATCH(J11,등급!$B$4:$B$8,1)-1)*가정!$B$25)</f>
        <v>0.54</v>
      </c>
      <c r="Q11" s="28" t="n">
        <f aca="false">MIN(1,H11*가정!$B$24+N11*가정!$B$25+가정!$B$26)</f>
        <v>0.76</v>
      </c>
      <c r="R11" s="29" t="n">
        <f aca="false">장비!$F$5*(1-Q11*가정!$B$14)*가정!$B$15</f>
        <v>0.17112</v>
      </c>
      <c r="S11" s="29" t="n">
        <f aca="false">장비!$F$9*(1-Q11*가정!$B$14)*가정!$B$15</f>
        <v>0.29233</v>
      </c>
      <c r="T11" s="14" t="n">
        <f aca="false">MATCH(G11,등급!$B$4:$B$8,1)-1</f>
        <v>2</v>
      </c>
    </row>
    <row r="12" customFormat="false" ht="15" hidden="false" customHeight="false" outlineLevel="0" collapsed="false">
      <c r="A12" s="4" t="s">
        <v>193</v>
      </c>
      <c r="B12" s="11" t="s">
        <v>194</v>
      </c>
      <c r="C12" s="11" t="s">
        <v>188</v>
      </c>
      <c r="D12" s="4"/>
      <c r="E12" s="9" t="n">
        <v>80</v>
      </c>
      <c r="F12" s="9" t="n">
        <v>200</v>
      </c>
      <c r="G12" s="12" t="n">
        <v>1800</v>
      </c>
      <c r="H12" s="22" t="n">
        <v>0.9</v>
      </c>
      <c r="I12" s="27" t="n">
        <f aca="false">(E12+F12)/2</f>
        <v>140</v>
      </c>
      <c r="J12" s="20" t="n">
        <f aca="false">MAX(1,ROUND(G12*(E12/I12)^2,0))</f>
        <v>588</v>
      </c>
      <c r="K12" s="20" t="n">
        <f aca="false">MAX(1,ROUND(G12*(F12/I12)^2,0))</f>
        <v>3673</v>
      </c>
      <c r="L12" s="20" t="n">
        <f aca="false">G12*(E12^2+2*E12*(F12-E12)/(1+가정!$B$5)+(F12-E12)^2/(1+2*가정!$B$5))/I12^2</f>
        <v>1504.98161997718</v>
      </c>
      <c r="M12" s="4" t="str">
        <f aca="false">INDEX(등급!$A$4:$A$8,MATCH(J12,등급!$B$4:$B$8,1))</f>
        <v>희귀</v>
      </c>
      <c r="N12" s="14" t="n">
        <f aca="false">MATCH(K12,등급!$B$4:$B$8,1)-1</f>
        <v>4</v>
      </c>
      <c r="O12" s="4" t="str">
        <f aca="false">INDEX(등급!$A$4:$A$8,N12+1)</f>
        <v>전설</v>
      </c>
      <c r="P12" s="28" t="n">
        <f aca="false">MIN(1,H12*가정!$B$24+(MATCH(J12,등급!$B$4:$B$8,1)-1)*가정!$B$25)</f>
        <v>0.73</v>
      </c>
      <c r="Q12" s="28" t="n">
        <f aca="false">MIN(1,H12*가정!$B$24+N12*가정!$B$25+가정!$B$26)</f>
        <v>0.95</v>
      </c>
      <c r="R12" s="29" t="n">
        <f aca="false">장비!$F$5*(1-Q12*가정!$B$14)*가정!$B$15</f>
        <v>0.1449</v>
      </c>
      <c r="S12" s="29" t="n">
        <f aca="false">장비!$F$9*(1-Q12*가정!$B$14)*가정!$B$15</f>
        <v>0.2475375</v>
      </c>
      <c r="T12" s="14" t="n">
        <f aca="false">MATCH(G12,등급!$B$4:$B$8,1)-1</f>
        <v>3</v>
      </c>
    </row>
    <row r="13" customFormat="false" ht="15" hidden="false" customHeight="false" outlineLevel="0" collapsed="false">
      <c r="A13" s="4" t="s">
        <v>195</v>
      </c>
      <c r="B13" s="11" t="s">
        <v>196</v>
      </c>
      <c r="C13" s="11" t="s">
        <v>179</v>
      </c>
      <c r="D13" s="4"/>
      <c r="E13" s="9" t="n">
        <v>8</v>
      </c>
      <c r="F13" s="9" t="n">
        <v>25</v>
      </c>
      <c r="G13" s="12" t="n">
        <v>15</v>
      </c>
      <c r="H13" s="22" t="n">
        <v>0.15</v>
      </c>
      <c r="I13" s="27" t="n">
        <f aca="false">(E13+F13)/2</f>
        <v>16.5</v>
      </c>
      <c r="J13" s="20" t="n">
        <f aca="false">MAX(1,ROUND(G13*(E13/I13)^2,0))</f>
        <v>4</v>
      </c>
      <c r="K13" s="20" t="n">
        <f aca="false">MAX(1,ROUND(G13*(F13/I13)^2,0))</f>
        <v>34</v>
      </c>
      <c r="L13" s="20" t="n">
        <f aca="false">G13*(E13^2+2*E13*(F13-E13)/(1+가정!$B$5)+(F13-E13)^2/(1+2*가정!$B$5))/I13^2</f>
        <v>12.3398867272385</v>
      </c>
      <c r="M13" s="4" t="str">
        <f aca="false">INDEX(등급!$A$4:$A$8,MATCH(J13,등급!$B$4:$B$8,1))</f>
        <v>일반</v>
      </c>
      <c r="N13" s="14" t="n">
        <f aca="false">MATCH(K13,등급!$B$4:$B$8,1)-1</f>
        <v>0</v>
      </c>
      <c r="O13" s="4" t="str">
        <f aca="false">INDEX(등급!$A$4:$A$8,N13+1)</f>
        <v>일반</v>
      </c>
      <c r="P13" s="28" t="n">
        <f aca="false">MIN(1,H13*가정!$B$24+(MATCH(J13,등급!$B$4:$B$8,1)-1)*가정!$B$25)</f>
        <v>0.105</v>
      </c>
      <c r="Q13" s="28" t="n">
        <f aca="false">MIN(1,H13*가정!$B$24+N13*가정!$B$25+가정!$B$26)</f>
        <v>0.225</v>
      </c>
      <c r="R13" s="29" t="n">
        <f aca="false">장비!$F$5*(1-Q13*가정!$B$14)*가정!$B$15</f>
        <v>0.24495</v>
      </c>
      <c r="S13" s="29" t="n">
        <f aca="false">장비!$F$9*(1-Q13*가정!$B$14)*가정!$B$15</f>
        <v>0.41845625</v>
      </c>
      <c r="T13" s="14" t="n">
        <f aca="false">MATCH(G13,등급!$B$4:$B$8,1)-1</f>
        <v>0</v>
      </c>
    </row>
    <row r="14" customFormat="false" ht="15" hidden="false" customHeight="false" outlineLevel="0" collapsed="false">
      <c r="A14" s="4" t="s">
        <v>197</v>
      </c>
      <c r="B14" s="11" t="s">
        <v>198</v>
      </c>
      <c r="C14" s="11" t="s">
        <v>188</v>
      </c>
      <c r="D14" s="4"/>
      <c r="E14" s="9" t="n">
        <v>15</v>
      </c>
      <c r="F14" s="9" t="n">
        <v>40</v>
      </c>
      <c r="G14" s="12" t="n">
        <v>35</v>
      </c>
      <c r="H14" s="22" t="n">
        <v>0.3</v>
      </c>
      <c r="I14" s="27" t="n">
        <f aca="false">(E14+F14)/2</f>
        <v>27.5</v>
      </c>
      <c r="J14" s="20" t="n">
        <f aca="false">MAX(1,ROUND(G14*(E14/I14)^2,0))</f>
        <v>10</v>
      </c>
      <c r="K14" s="20" t="n">
        <f aca="false">MAX(1,ROUND(G14*(F14/I14)^2,0))</f>
        <v>74</v>
      </c>
      <c r="L14" s="20" t="n">
        <f aca="false">G14*(E14^2+2*E14*(F14-E14)/(1+가정!$B$5)+(F14-E14)^2/(1+2*가정!$B$5))/I14^2</f>
        <v>29.098095580309</v>
      </c>
      <c r="M14" s="4" t="str">
        <f aca="false">INDEX(등급!$A$4:$A$8,MATCH(J14,등급!$B$4:$B$8,1))</f>
        <v>일반</v>
      </c>
      <c r="N14" s="14" t="n">
        <f aca="false">MATCH(K14,등급!$B$4:$B$8,1)-1</f>
        <v>1</v>
      </c>
      <c r="O14" s="4" t="str">
        <f aca="false">INDEX(등급!$A$4:$A$8,N14+1)</f>
        <v>고급</v>
      </c>
      <c r="P14" s="28" t="n">
        <f aca="false">MIN(1,H14*가정!$B$24+(MATCH(J14,등급!$B$4:$B$8,1)-1)*가정!$B$25)</f>
        <v>0.21</v>
      </c>
      <c r="Q14" s="28" t="n">
        <f aca="false">MIN(1,H14*가정!$B$24+N14*가정!$B$25+가정!$B$26)</f>
        <v>0.38</v>
      </c>
      <c r="R14" s="29" t="n">
        <f aca="false">장비!$F$5*(1-Q14*가정!$B$14)*가정!$B$15</f>
        <v>0.22356</v>
      </c>
      <c r="S14" s="29" t="n">
        <f aca="false">장비!$F$9*(1-Q14*가정!$B$14)*가정!$B$15</f>
        <v>0.381915</v>
      </c>
      <c r="T14" s="14" t="n">
        <f aca="false">MATCH(G14,등급!$B$4:$B$8,1)-1</f>
        <v>0</v>
      </c>
    </row>
    <row r="15" customFormat="false" ht="15" hidden="false" customHeight="false" outlineLevel="0" collapsed="false">
      <c r="A15" s="4" t="s">
        <v>199</v>
      </c>
      <c r="B15" s="11" t="s">
        <v>200</v>
      </c>
      <c r="C15" s="11" t="s">
        <v>188</v>
      </c>
      <c r="D15" s="4"/>
      <c r="E15" s="9" t="n">
        <v>25</v>
      </c>
      <c r="F15" s="9" t="n">
        <v>50</v>
      </c>
      <c r="G15" s="12" t="n">
        <v>60</v>
      </c>
      <c r="H15" s="22" t="n">
        <v>0.4</v>
      </c>
      <c r="I15" s="27" t="n">
        <f aca="false">(E15+F15)/2</f>
        <v>37.5</v>
      </c>
      <c r="J15" s="20" t="n">
        <f aca="false">MAX(1,ROUND(G15*(E15/I15)^2,0))</f>
        <v>27</v>
      </c>
      <c r="K15" s="20" t="n">
        <f aca="false">MAX(1,ROUND(G15*(F15/I15)^2,0))</f>
        <v>107</v>
      </c>
      <c r="L15" s="20" t="n">
        <f aca="false">G15*(E15^2+2*E15*(F15-E15)/(1+가정!$B$5)+(F15-E15)^2/(1+2*가정!$B$5))/I15^2</f>
        <v>51.5113871635611</v>
      </c>
      <c r="M15" s="4" t="str">
        <f aca="false">INDEX(등급!$A$4:$A$8,MATCH(J15,등급!$B$4:$B$8,1))</f>
        <v>일반</v>
      </c>
      <c r="N15" s="14" t="n">
        <f aca="false">MATCH(K15,등급!$B$4:$B$8,1)-1</f>
        <v>1</v>
      </c>
      <c r="O15" s="4" t="str">
        <f aca="false">INDEX(등급!$A$4:$A$8,N15+1)</f>
        <v>고급</v>
      </c>
      <c r="P15" s="28" t="n">
        <f aca="false">MIN(1,H15*가정!$B$24+(MATCH(J15,등급!$B$4:$B$8,1)-1)*가정!$B$25)</f>
        <v>0.28</v>
      </c>
      <c r="Q15" s="28" t="n">
        <f aca="false">MIN(1,H15*가정!$B$24+N15*가정!$B$25+가정!$B$26)</f>
        <v>0.45</v>
      </c>
      <c r="R15" s="29" t="n">
        <f aca="false">장비!$F$5*(1-Q15*가정!$B$14)*가정!$B$15</f>
        <v>0.2139</v>
      </c>
      <c r="S15" s="29" t="n">
        <f aca="false">장비!$F$9*(1-Q15*가정!$B$14)*가정!$B$15</f>
        <v>0.3654125</v>
      </c>
      <c r="T15" s="14" t="n">
        <f aca="false">MATCH(G15,등급!$B$4:$B$8,1)-1</f>
        <v>1</v>
      </c>
    </row>
    <row r="16" customFormat="false" ht="15" hidden="false" customHeight="false" outlineLevel="0" collapsed="false">
      <c r="A16" s="4" t="s">
        <v>201</v>
      </c>
      <c r="B16" s="11" t="s">
        <v>202</v>
      </c>
      <c r="C16" s="11" t="s">
        <v>179</v>
      </c>
      <c r="D16" s="4"/>
      <c r="E16" s="9" t="n">
        <v>20</v>
      </c>
      <c r="F16" s="9" t="n">
        <v>50</v>
      </c>
      <c r="G16" s="12" t="n">
        <v>150</v>
      </c>
      <c r="H16" s="22" t="n">
        <v>0.45</v>
      </c>
      <c r="I16" s="27" t="n">
        <f aca="false">(E16+F16)/2</f>
        <v>35</v>
      </c>
      <c r="J16" s="20" t="n">
        <f aca="false">MAX(1,ROUND(G16*(E16/I16)^2,0))</f>
        <v>49</v>
      </c>
      <c r="K16" s="20" t="n">
        <f aca="false">MAX(1,ROUND(G16*(F16/I16)^2,0))</f>
        <v>306</v>
      </c>
      <c r="L16" s="20" t="n">
        <f aca="false">G16*(E16^2+2*E16*(F16-E16)/(1+가정!$B$5)+(F16-E16)^2/(1+2*가정!$B$5))/I16^2</f>
        <v>125.415134998099</v>
      </c>
      <c r="M16" s="4" t="str">
        <f aca="false">INDEX(등급!$A$4:$A$8,MATCH(J16,등급!$B$4:$B$8,1))</f>
        <v>일반</v>
      </c>
      <c r="N16" s="14" t="n">
        <f aca="false">MATCH(K16,등급!$B$4:$B$8,1)-1</f>
        <v>2</v>
      </c>
      <c r="O16" s="4" t="str">
        <f aca="false">INDEX(등급!$A$4:$A$8,N16+1)</f>
        <v>희귀</v>
      </c>
      <c r="P16" s="28" t="n">
        <f aca="false">MIN(1,H16*가정!$B$24+(MATCH(J16,등급!$B$4:$B$8,1)-1)*가정!$B$25)</f>
        <v>0.315</v>
      </c>
      <c r="Q16" s="28" t="n">
        <f aca="false">MIN(1,H16*가정!$B$24+N16*가정!$B$25+가정!$B$26)</f>
        <v>0.535</v>
      </c>
      <c r="R16" s="29" t="n">
        <f aca="false">장비!$F$5*(1-Q16*가정!$B$14)*가정!$B$15</f>
        <v>0.20217</v>
      </c>
      <c r="S16" s="29" t="n">
        <f aca="false">장비!$F$9*(1-Q16*가정!$B$14)*가정!$B$15</f>
        <v>0.34537375</v>
      </c>
      <c r="T16" s="14" t="n">
        <f aca="false">MATCH(G16,등급!$B$4:$B$8,1)-1</f>
        <v>1</v>
      </c>
    </row>
    <row r="17" customFormat="false" ht="15" hidden="false" customHeight="false" outlineLevel="0" collapsed="false">
      <c r="A17" s="4" t="s">
        <v>203</v>
      </c>
      <c r="B17" s="11" t="s">
        <v>204</v>
      </c>
      <c r="C17" s="11" t="s">
        <v>179</v>
      </c>
      <c r="D17" s="4"/>
      <c r="E17" s="9" t="n">
        <v>25</v>
      </c>
      <c r="F17" s="9" t="n">
        <v>60</v>
      </c>
      <c r="G17" s="12" t="n">
        <v>450</v>
      </c>
      <c r="H17" s="22" t="n">
        <v>0.6</v>
      </c>
      <c r="I17" s="27" t="n">
        <f aca="false">(E17+F17)/2</f>
        <v>42.5</v>
      </c>
      <c r="J17" s="20" t="n">
        <f aca="false">MAX(1,ROUND(G17*(E17/I17)^2,0))</f>
        <v>156</v>
      </c>
      <c r="K17" s="20" t="n">
        <f aca="false">MAX(1,ROUND(G17*(F17/I17)^2,0))</f>
        <v>897</v>
      </c>
      <c r="L17" s="20" t="n">
        <f aca="false">G17*(E17^2+2*E17*(F17-E17)/(1+가정!$B$5)+(F17-E17)^2/(1+2*가정!$B$5))/I17^2</f>
        <v>377.764404994735</v>
      </c>
      <c r="M17" s="4" t="str">
        <f aca="false">INDEX(등급!$A$4:$A$8,MATCH(J17,등급!$B$4:$B$8,1))</f>
        <v>고급</v>
      </c>
      <c r="N17" s="14" t="n">
        <f aca="false">MATCH(K17,등급!$B$4:$B$8,1)-1</f>
        <v>3</v>
      </c>
      <c r="O17" s="4" t="str">
        <f aca="false">INDEX(등급!$A$4:$A$8,N17+1)</f>
        <v>영웅</v>
      </c>
      <c r="P17" s="28" t="n">
        <f aca="false">MIN(1,H17*가정!$B$24+(MATCH(J17,등급!$B$4:$B$8,1)-1)*가정!$B$25)</f>
        <v>0.47</v>
      </c>
      <c r="Q17" s="28" t="n">
        <f aca="false">MIN(1,H17*가정!$B$24+N17*가정!$B$25+가정!$B$26)</f>
        <v>0.69</v>
      </c>
      <c r="R17" s="29" t="n">
        <f aca="false">장비!$F$5*(1-Q17*가정!$B$14)*가정!$B$15</f>
        <v>0.18078</v>
      </c>
      <c r="S17" s="29" t="n">
        <f aca="false">장비!$F$9*(1-Q17*가정!$B$14)*가정!$B$15</f>
        <v>0.3088325</v>
      </c>
      <c r="T17" s="14" t="n">
        <f aca="false">MATCH(G17,등급!$B$4:$B$8,1)-1</f>
        <v>2</v>
      </c>
    </row>
    <row r="18" customFormat="false" ht="15" hidden="false" customHeight="false" outlineLevel="0" collapsed="false">
      <c r="A18" s="4" t="s">
        <v>205</v>
      </c>
      <c r="B18" s="11" t="s">
        <v>206</v>
      </c>
      <c r="C18" s="11" t="s">
        <v>188</v>
      </c>
      <c r="D18" s="4"/>
      <c r="E18" s="9" t="n">
        <v>40</v>
      </c>
      <c r="F18" s="9" t="n">
        <v>100</v>
      </c>
      <c r="G18" s="12" t="n">
        <v>650</v>
      </c>
      <c r="H18" s="22" t="n">
        <v>0.7</v>
      </c>
      <c r="I18" s="27" t="n">
        <f aca="false">(E18+F18)/2</f>
        <v>70</v>
      </c>
      <c r="J18" s="20" t="n">
        <f aca="false">MAX(1,ROUND(G18*(E18/I18)^2,0))</f>
        <v>212</v>
      </c>
      <c r="K18" s="20" t="n">
        <f aca="false">MAX(1,ROUND(G18*(F18/I18)^2,0))</f>
        <v>1327</v>
      </c>
      <c r="L18" s="20" t="n">
        <f aca="false">G18*(E18^2+2*E18*(F18-E18)/(1+가정!$B$5)+(F18-E18)^2/(1+2*가정!$B$5))/I18^2</f>
        <v>543.465584991761</v>
      </c>
      <c r="M18" s="4" t="str">
        <f aca="false">INDEX(등급!$A$4:$A$8,MATCH(J18,등급!$B$4:$B$8,1))</f>
        <v>희귀</v>
      </c>
      <c r="N18" s="14" t="n">
        <f aca="false">MATCH(K18,등급!$B$4:$B$8,1)-1</f>
        <v>3</v>
      </c>
      <c r="O18" s="4" t="str">
        <f aca="false">INDEX(등급!$A$4:$A$8,N18+1)</f>
        <v>영웅</v>
      </c>
      <c r="P18" s="28" t="n">
        <f aca="false">MIN(1,H18*가정!$B$24+(MATCH(J18,등급!$B$4:$B$8,1)-1)*가정!$B$25)</f>
        <v>0.59</v>
      </c>
      <c r="Q18" s="28" t="n">
        <f aca="false">MIN(1,H18*가정!$B$24+N18*가정!$B$25+가정!$B$26)</f>
        <v>0.76</v>
      </c>
      <c r="R18" s="29" t="n">
        <f aca="false">장비!$F$5*(1-Q18*가정!$B$14)*가정!$B$15</f>
        <v>0.17112</v>
      </c>
      <c r="S18" s="29" t="n">
        <f aca="false">장비!$F$9*(1-Q18*가정!$B$14)*가정!$B$15</f>
        <v>0.29233</v>
      </c>
      <c r="T18" s="14" t="n">
        <f aca="false">MATCH(G18,등급!$B$4:$B$8,1)-1</f>
        <v>2</v>
      </c>
    </row>
    <row r="19" customFormat="false" ht="15" hidden="false" customHeight="false" outlineLevel="0" collapsed="false">
      <c r="A19" s="4" t="s">
        <v>207</v>
      </c>
      <c r="B19" s="11" t="s">
        <v>208</v>
      </c>
      <c r="C19" s="11" t="s">
        <v>179</v>
      </c>
      <c r="D19" s="4"/>
      <c r="E19" s="9" t="n">
        <v>25</v>
      </c>
      <c r="F19" s="9" t="n">
        <v>55</v>
      </c>
      <c r="G19" s="12" t="n">
        <v>550</v>
      </c>
      <c r="H19" s="22" t="n">
        <v>0.75</v>
      </c>
      <c r="I19" s="27" t="n">
        <f aca="false">(E19+F19)/2</f>
        <v>40</v>
      </c>
      <c r="J19" s="20" t="n">
        <f aca="false">MAX(1,ROUND(G19*(E19/I19)^2,0))</f>
        <v>215</v>
      </c>
      <c r="K19" s="20" t="n">
        <f aca="false">MAX(1,ROUND(G19*(F19/I19)^2,0))</f>
        <v>1040</v>
      </c>
      <c r="L19" s="20" t="n">
        <f aca="false">G19*(E19^2+2*E19*(F19-E19)/(1+가정!$B$5)+(F19-E19)^2/(1+2*가정!$B$5))/I19^2</f>
        <v>466.250970496894</v>
      </c>
      <c r="M19" s="4" t="str">
        <f aca="false">INDEX(등급!$A$4:$A$8,MATCH(J19,등급!$B$4:$B$8,1))</f>
        <v>희귀</v>
      </c>
      <c r="N19" s="14" t="n">
        <f aca="false">MATCH(K19,등급!$B$4:$B$8,1)-1</f>
        <v>3</v>
      </c>
      <c r="O19" s="4" t="str">
        <f aca="false">INDEX(등급!$A$4:$A$8,N19+1)</f>
        <v>영웅</v>
      </c>
      <c r="P19" s="28" t="n">
        <f aca="false">MIN(1,H19*가정!$B$24+(MATCH(J19,등급!$B$4:$B$8,1)-1)*가정!$B$25)</f>
        <v>0.625</v>
      </c>
      <c r="Q19" s="28" t="n">
        <f aca="false">MIN(1,H19*가정!$B$24+N19*가정!$B$25+가정!$B$26)</f>
        <v>0.795</v>
      </c>
      <c r="R19" s="29" t="n">
        <f aca="false">장비!$F$5*(1-Q19*가정!$B$14)*가정!$B$15</f>
        <v>0.16629</v>
      </c>
      <c r="S19" s="29" t="n">
        <f aca="false">장비!$F$9*(1-Q19*가정!$B$14)*가정!$B$15</f>
        <v>0.28407875</v>
      </c>
      <c r="T19" s="14" t="n">
        <f aca="false">MATCH(G19,등급!$B$4:$B$8,1)-1</f>
        <v>2</v>
      </c>
    </row>
    <row r="20" customFormat="false" ht="15" hidden="false" customHeight="false" outlineLevel="0" collapsed="false">
      <c r="A20" s="4" t="s">
        <v>209</v>
      </c>
      <c r="B20" s="11" t="s">
        <v>210</v>
      </c>
      <c r="C20" s="11" t="s">
        <v>179</v>
      </c>
      <c r="D20" s="4"/>
      <c r="E20" s="9" t="n">
        <v>30</v>
      </c>
      <c r="F20" s="9" t="n">
        <v>70</v>
      </c>
      <c r="G20" s="12" t="n">
        <v>1600</v>
      </c>
      <c r="H20" s="22" t="n">
        <v>0.85</v>
      </c>
      <c r="I20" s="27" t="n">
        <f aca="false">(E20+F20)/2</f>
        <v>50</v>
      </c>
      <c r="J20" s="20" t="n">
        <f aca="false">MAX(1,ROUND(G20*(E20/I20)^2,0))</f>
        <v>576</v>
      </c>
      <c r="K20" s="20" t="n">
        <f aca="false">MAX(1,ROUND(G20*(F20/I20)^2,0))</f>
        <v>3136</v>
      </c>
      <c r="L20" s="20" t="n">
        <f aca="false">G20*(E20^2+2*E20*(F20-E20)/(1+가정!$B$5)+(F20-E20)^2/(1+2*가정!$B$5))/I20^2</f>
        <v>1347.1801242236</v>
      </c>
      <c r="M20" s="4" t="str">
        <f aca="false">INDEX(등급!$A$4:$A$8,MATCH(J20,등급!$B$4:$B$8,1))</f>
        <v>희귀</v>
      </c>
      <c r="N20" s="14" t="n">
        <f aca="false">MATCH(K20,등급!$B$4:$B$8,1)-1</f>
        <v>4</v>
      </c>
      <c r="O20" s="4" t="str">
        <f aca="false">INDEX(등급!$A$4:$A$8,N20+1)</f>
        <v>전설</v>
      </c>
      <c r="P20" s="28" t="n">
        <f aca="false">MIN(1,H20*가정!$B$24+(MATCH(J20,등급!$B$4:$B$8,1)-1)*가정!$B$25)</f>
        <v>0.695</v>
      </c>
      <c r="Q20" s="28" t="n">
        <f aca="false">MIN(1,H20*가정!$B$24+N20*가정!$B$25+가정!$B$26)</f>
        <v>0.915</v>
      </c>
      <c r="R20" s="29" t="n">
        <f aca="false">장비!$F$5*(1-Q20*가정!$B$14)*가정!$B$15</f>
        <v>0.14973</v>
      </c>
      <c r="S20" s="29" t="n">
        <f aca="false">장비!$F$9*(1-Q20*가정!$B$14)*가정!$B$15</f>
        <v>0.25578875</v>
      </c>
      <c r="T20" s="14" t="n">
        <f aca="false">MATCH(G20,등급!$B$4:$B$8,1)-1</f>
        <v>3</v>
      </c>
    </row>
    <row r="21" customFormat="false" ht="15" hidden="false" customHeight="false" outlineLevel="0" collapsed="false">
      <c r="A21" s="4" t="s">
        <v>211</v>
      </c>
      <c r="B21" s="11" t="s">
        <v>212</v>
      </c>
      <c r="C21" s="11" t="s">
        <v>188</v>
      </c>
      <c r="D21" s="4"/>
      <c r="E21" s="9" t="n">
        <v>60</v>
      </c>
      <c r="F21" s="9" t="n">
        <v>150</v>
      </c>
      <c r="G21" s="12" t="n">
        <v>180</v>
      </c>
      <c r="H21" s="22" t="n">
        <v>0.4</v>
      </c>
      <c r="I21" s="27" t="n">
        <f aca="false">(E21+F21)/2</f>
        <v>105</v>
      </c>
      <c r="J21" s="20" t="n">
        <f aca="false">MAX(1,ROUND(G21*(E21/I21)^2,0))</f>
        <v>59</v>
      </c>
      <c r="K21" s="20" t="n">
        <f aca="false">MAX(1,ROUND(G21*(F21/I21)^2,0))</f>
        <v>367</v>
      </c>
      <c r="L21" s="20" t="n">
        <f aca="false">G21*(E21^2+2*E21*(F21-E21)/(1+가정!$B$5)+(F21-E21)^2/(1+2*가정!$B$5))/I21^2</f>
        <v>150.498161997718</v>
      </c>
      <c r="M21" s="4" t="str">
        <f aca="false">INDEX(등급!$A$4:$A$8,MATCH(J21,등급!$B$4:$B$8,1))</f>
        <v>일반</v>
      </c>
      <c r="N21" s="14" t="n">
        <f aca="false">MATCH(K21,등급!$B$4:$B$8,1)-1</f>
        <v>2</v>
      </c>
      <c r="O21" s="4" t="str">
        <f aca="false">INDEX(등급!$A$4:$A$8,N21+1)</f>
        <v>희귀</v>
      </c>
      <c r="P21" s="28" t="n">
        <f aca="false">MIN(1,H21*가정!$B$24+(MATCH(J21,등급!$B$4:$B$8,1)-1)*가정!$B$25)</f>
        <v>0.28</v>
      </c>
      <c r="Q21" s="28" t="n">
        <f aca="false">MIN(1,H21*가정!$B$24+N21*가정!$B$25+가정!$B$26)</f>
        <v>0.5</v>
      </c>
      <c r="R21" s="29" t="n">
        <f aca="false">장비!$F$5*(1-Q21*가정!$B$14)*가정!$B$15</f>
        <v>0.207</v>
      </c>
      <c r="S21" s="29" t="n">
        <f aca="false">장비!$F$9*(1-Q21*가정!$B$14)*가정!$B$15</f>
        <v>0.353625</v>
      </c>
      <c r="T21" s="14" t="n">
        <f aca="false">MATCH(G21,등급!$B$4:$B$8,1)-1</f>
        <v>1</v>
      </c>
    </row>
    <row r="22" customFormat="false" ht="15" hidden="false" customHeight="false" outlineLevel="0" collapsed="false">
      <c r="A22" s="4" t="s">
        <v>213</v>
      </c>
      <c r="B22" s="11" t="s">
        <v>214</v>
      </c>
      <c r="C22" s="11" t="s">
        <v>188</v>
      </c>
      <c r="D22" s="4"/>
      <c r="E22" s="9" t="n">
        <v>35</v>
      </c>
      <c r="F22" s="9" t="n">
        <v>90</v>
      </c>
      <c r="G22" s="12" t="n">
        <v>450</v>
      </c>
      <c r="H22" s="22" t="n">
        <v>0.5</v>
      </c>
      <c r="I22" s="27" t="n">
        <f aca="false">(E22+F22)/2</f>
        <v>62.5</v>
      </c>
      <c r="J22" s="20" t="n">
        <f aca="false">MAX(1,ROUND(G22*(E22/I22)^2,0))</f>
        <v>141</v>
      </c>
      <c r="K22" s="20" t="n">
        <f aca="false">MAX(1,ROUND(G22*(F22/I22)^2,0))</f>
        <v>933</v>
      </c>
      <c r="L22" s="20" t="n">
        <f aca="false">G22*(E22^2+2*E22*(F22-E22)/(1+가정!$B$5)+(F22-E22)^2/(1+2*가정!$B$5))/I22^2</f>
        <v>375.27652173913</v>
      </c>
      <c r="M22" s="4" t="str">
        <f aca="false">INDEX(등급!$A$4:$A$8,MATCH(J22,등급!$B$4:$B$8,1))</f>
        <v>고급</v>
      </c>
      <c r="N22" s="14" t="n">
        <f aca="false">MATCH(K22,등급!$B$4:$B$8,1)-1</f>
        <v>3</v>
      </c>
      <c r="O22" s="4" t="str">
        <f aca="false">INDEX(등급!$A$4:$A$8,N22+1)</f>
        <v>영웅</v>
      </c>
      <c r="P22" s="28" t="n">
        <f aca="false">MIN(1,H22*가정!$B$24+(MATCH(J22,등급!$B$4:$B$8,1)-1)*가정!$B$25)</f>
        <v>0.4</v>
      </c>
      <c r="Q22" s="28" t="n">
        <f aca="false">MIN(1,H22*가정!$B$24+N22*가정!$B$25+가정!$B$26)</f>
        <v>0.62</v>
      </c>
      <c r="R22" s="29" t="n">
        <f aca="false">장비!$F$5*(1-Q22*가정!$B$14)*가정!$B$15</f>
        <v>0.19044</v>
      </c>
      <c r="S22" s="29" t="n">
        <f aca="false">장비!$F$9*(1-Q22*가정!$B$14)*가정!$B$15</f>
        <v>0.325335</v>
      </c>
      <c r="T22" s="14" t="n">
        <f aca="false">MATCH(G22,등급!$B$4:$B$8,1)-1</f>
        <v>2</v>
      </c>
    </row>
    <row r="23" customFormat="false" ht="15" hidden="false" customHeight="false" outlineLevel="0" collapsed="false">
      <c r="A23" s="4" t="s">
        <v>215</v>
      </c>
      <c r="B23" s="11" t="s">
        <v>216</v>
      </c>
      <c r="C23" s="11" t="s">
        <v>188</v>
      </c>
      <c r="D23" s="4"/>
      <c r="E23" s="9" t="n">
        <v>30</v>
      </c>
      <c r="F23" s="9" t="n">
        <v>90</v>
      </c>
      <c r="G23" s="12" t="n">
        <v>900</v>
      </c>
      <c r="H23" s="22" t="n">
        <v>0.65</v>
      </c>
      <c r="I23" s="27" t="n">
        <f aca="false">(E23+F23)/2</f>
        <v>60</v>
      </c>
      <c r="J23" s="20" t="n">
        <f aca="false">MAX(1,ROUND(G23*(E23/I23)^2,0))</f>
        <v>225</v>
      </c>
      <c r="K23" s="20" t="n">
        <f aca="false">MAX(1,ROUND(G23*(F23/I23)^2,0))</f>
        <v>2025</v>
      </c>
      <c r="L23" s="20" t="n">
        <f aca="false">G23*(E23^2+2*E23*(F23-E23)/(1+가정!$B$5)+(F23-E23)^2/(1+2*가정!$B$5))/I23^2</f>
        <v>742.080745341615</v>
      </c>
      <c r="M23" s="4" t="str">
        <f aca="false">INDEX(등급!$A$4:$A$8,MATCH(J23,등급!$B$4:$B$8,1))</f>
        <v>희귀</v>
      </c>
      <c r="N23" s="14" t="n">
        <f aca="false">MATCH(K23,등급!$B$4:$B$8,1)-1</f>
        <v>3</v>
      </c>
      <c r="O23" s="4" t="str">
        <f aca="false">INDEX(등급!$A$4:$A$8,N23+1)</f>
        <v>영웅</v>
      </c>
      <c r="P23" s="28" t="n">
        <f aca="false">MIN(1,H23*가정!$B$24+(MATCH(J23,등급!$B$4:$B$8,1)-1)*가정!$B$25)</f>
        <v>0.555</v>
      </c>
      <c r="Q23" s="28" t="n">
        <f aca="false">MIN(1,H23*가정!$B$24+N23*가정!$B$25+가정!$B$26)</f>
        <v>0.725</v>
      </c>
      <c r="R23" s="29" t="n">
        <f aca="false">장비!$F$5*(1-Q23*가정!$B$14)*가정!$B$15</f>
        <v>0.17595</v>
      </c>
      <c r="S23" s="29" t="n">
        <f aca="false">장비!$F$9*(1-Q23*가정!$B$14)*가정!$B$15</f>
        <v>0.30058125</v>
      </c>
      <c r="T23" s="14" t="n">
        <f aca="false">MATCH(G23,등급!$B$4:$B$8,1)-1</f>
        <v>3</v>
      </c>
    </row>
    <row r="24" customFormat="false" ht="15" hidden="false" customHeight="false" outlineLevel="0" collapsed="false">
      <c r="A24" s="4" t="s">
        <v>217</v>
      </c>
      <c r="B24" s="11" t="s">
        <v>218</v>
      </c>
      <c r="C24" s="11" t="s">
        <v>188</v>
      </c>
      <c r="D24" s="4"/>
      <c r="E24" s="9" t="n">
        <v>50</v>
      </c>
      <c r="F24" s="9" t="n">
        <v>110</v>
      </c>
      <c r="G24" s="12" t="n">
        <v>1400</v>
      </c>
      <c r="H24" s="22" t="n">
        <v>0.75</v>
      </c>
      <c r="I24" s="27" t="n">
        <f aca="false">(E24+F24)/2</f>
        <v>80</v>
      </c>
      <c r="J24" s="20" t="n">
        <f aca="false">MAX(1,ROUND(G24*(E24/I24)^2,0))</f>
        <v>547</v>
      </c>
      <c r="K24" s="20" t="n">
        <f aca="false">MAX(1,ROUND(G24*(F24/I24)^2,0))</f>
        <v>2647</v>
      </c>
      <c r="L24" s="20" t="n">
        <f aca="false">G24*(E24^2+2*E24*(F24-E24)/(1+가정!$B$5)+(F24-E24)^2/(1+2*가정!$B$5))/I24^2</f>
        <v>1186.82065217391</v>
      </c>
      <c r="M24" s="4" t="str">
        <f aca="false">INDEX(등급!$A$4:$A$8,MATCH(J24,등급!$B$4:$B$8,1))</f>
        <v>희귀</v>
      </c>
      <c r="N24" s="14" t="n">
        <f aca="false">MATCH(K24,등급!$B$4:$B$8,1)-1</f>
        <v>4</v>
      </c>
      <c r="O24" s="4" t="str">
        <f aca="false">INDEX(등급!$A$4:$A$8,N24+1)</f>
        <v>전설</v>
      </c>
      <c r="P24" s="28" t="n">
        <f aca="false">MIN(1,H24*가정!$B$24+(MATCH(J24,등급!$B$4:$B$8,1)-1)*가정!$B$25)</f>
        <v>0.625</v>
      </c>
      <c r="Q24" s="28" t="n">
        <f aca="false">MIN(1,H24*가정!$B$24+N24*가정!$B$25+가정!$B$26)</f>
        <v>0.845</v>
      </c>
      <c r="R24" s="29" t="n">
        <f aca="false">장비!$F$5*(1-Q24*가정!$B$14)*가정!$B$15</f>
        <v>0.15939</v>
      </c>
      <c r="S24" s="29" t="n">
        <f aca="false">장비!$F$9*(1-Q24*가정!$B$14)*가정!$B$15</f>
        <v>0.27229125</v>
      </c>
      <c r="T24" s="14" t="n">
        <f aca="false">MATCH(G24,등급!$B$4:$B$8,1)-1</f>
        <v>3</v>
      </c>
    </row>
    <row r="25" customFormat="false" ht="15" hidden="false" customHeight="false" outlineLevel="0" collapsed="false">
      <c r="A25" s="4" t="s">
        <v>219</v>
      </c>
      <c r="B25" s="11" t="s">
        <v>220</v>
      </c>
      <c r="C25" s="11" t="s">
        <v>188</v>
      </c>
      <c r="D25" s="4"/>
      <c r="E25" s="9" t="n">
        <v>60</v>
      </c>
      <c r="F25" s="9" t="n">
        <v>140</v>
      </c>
      <c r="G25" s="12" t="n">
        <v>2200</v>
      </c>
      <c r="H25" s="22" t="n">
        <v>0.85</v>
      </c>
      <c r="I25" s="27" t="n">
        <f aca="false">(E25+F25)/2</f>
        <v>100</v>
      </c>
      <c r="J25" s="20" t="n">
        <f aca="false">MAX(1,ROUND(G25*(E25/I25)^2,0))</f>
        <v>792</v>
      </c>
      <c r="K25" s="20" t="n">
        <f aca="false">MAX(1,ROUND(G25*(F25/I25)^2,0))</f>
        <v>4312</v>
      </c>
      <c r="L25" s="20" t="n">
        <f aca="false">G25*(E25^2+2*E25*(F25-E25)/(1+가정!$B$5)+(F25-E25)^2/(1+2*가정!$B$5))/I25^2</f>
        <v>1852.37267080745</v>
      </c>
      <c r="M25" s="4" t="str">
        <f aca="false">INDEX(등급!$A$4:$A$8,MATCH(J25,등급!$B$4:$B$8,1))</f>
        <v>영웅</v>
      </c>
      <c r="N25" s="14" t="n">
        <f aca="false">MATCH(K25,등급!$B$4:$B$8,1)-1</f>
        <v>4</v>
      </c>
      <c r="O25" s="4" t="str">
        <f aca="false">INDEX(등급!$A$4:$A$8,N25+1)</f>
        <v>전설</v>
      </c>
      <c r="P25" s="28" t="n">
        <f aca="false">MIN(1,H25*가정!$B$24+(MATCH(J25,등급!$B$4:$B$8,1)-1)*가정!$B$25)</f>
        <v>0.745</v>
      </c>
      <c r="Q25" s="28" t="n">
        <f aca="false">MIN(1,H25*가정!$B$24+N25*가정!$B$25+가정!$B$26)</f>
        <v>0.915</v>
      </c>
      <c r="R25" s="29" t="n">
        <f aca="false">장비!$F$5*(1-Q25*가정!$B$14)*가정!$B$15</f>
        <v>0.14973</v>
      </c>
      <c r="S25" s="29" t="n">
        <f aca="false">장비!$F$9*(1-Q25*가정!$B$14)*가정!$B$15</f>
        <v>0.25578875</v>
      </c>
      <c r="T25" s="14" t="n">
        <f aca="false">MATCH(G25,등급!$B$4:$B$8,1)-1</f>
        <v>3</v>
      </c>
    </row>
    <row r="26" customFormat="false" ht="15" hidden="false" customHeight="false" outlineLevel="0" collapsed="false">
      <c r="A26" s="4" t="s">
        <v>221</v>
      </c>
      <c r="B26" s="11" t="s">
        <v>222</v>
      </c>
      <c r="C26" s="11" t="s">
        <v>188</v>
      </c>
      <c r="D26" s="4"/>
      <c r="E26" s="9" t="n">
        <v>100</v>
      </c>
      <c r="F26" s="9" t="n">
        <v>280</v>
      </c>
      <c r="G26" s="12" t="n">
        <v>9000</v>
      </c>
      <c r="H26" s="22" t="n">
        <v>0.97</v>
      </c>
      <c r="I26" s="27" t="n">
        <f aca="false">(E26+F26)/2</f>
        <v>190</v>
      </c>
      <c r="J26" s="20" t="n">
        <f aca="false">MAX(1,ROUND(G26*(E26/I26)^2,0))</f>
        <v>2493</v>
      </c>
      <c r="K26" s="20" t="n">
        <f aca="false">MAX(1,ROUND(G26*(F26/I26)^2,0))</f>
        <v>19546</v>
      </c>
      <c r="L26" s="20" t="n">
        <f aca="false">G26*(E26^2+2*E26*(F26-E26)/(1+가정!$B$5)+(F26-E26)^2/(1+2*가정!$B$5))/I26^2</f>
        <v>7454.44847817484</v>
      </c>
      <c r="M26" s="4" t="str">
        <f aca="false">INDEX(등급!$A$4:$A$8,MATCH(J26,등급!$B$4:$B$8,1))</f>
        <v>영웅</v>
      </c>
      <c r="N26" s="14" t="n">
        <f aca="false">MATCH(K26,등급!$B$4:$B$8,1)-1</f>
        <v>4</v>
      </c>
      <c r="O26" s="4" t="str">
        <f aca="false">INDEX(등급!$A$4:$A$8,N26+1)</f>
        <v>전설</v>
      </c>
      <c r="P26" s="28" t="n">
        <f aca="false">MIN(1,H26*가정!$B$24+(MATCH(J26,등급!$B$4:$B$8,1)-1)*가정!$B$25)</f>
        <v>0.829</v>
      </c>
      <c r="Q26" s="28" t="n">
        <f aca="false">MIN(1,H26*가정!$B$24+N26*가정!$B$25+가정!$B$26)</f>
        <v>0.999</v>
      </c>
      <c r="R26" s="29" t="n">
        <f aca="false">장비!$F$5*(1-Q26*가정!$B$14)*가정!$B$15</f>
        <v>0.138138</v>
      </c>
      <c r="S26" s="29" t="n">
        <f aca="false">장비!$F$9*(1-Q26*가정!$B$14)*가정!$B$15</f>
        <v>0.23598575</v>
      </c>
      <c r="T26" s="14" t="n">
        <f aca="false">MATCH(G26,등급!$B$4:$B$8,1)-1</f>
        <v>4</v>
      </c>
    </row>
    <row r="27" customFormat="false" ht="15" hidden="false" customHeight="false" outlineLevel="0" collapsed="false">
      <c r="A27" s="4" t="s">
        <v>223</v>
      </c>
      <c r="B27" s="11" t="s">
        <v>224</v>
      </c>
      <c r="C27" s="11" t="s">
        <v>188</v>
      </c>
      <c r="D27" s="4" t="s">
        <v>225</v>
      </c>
      <c r="E27" s="9" t="n">
        <v>30</v>
      </c>
      <c r="F27" s="9" t="n">
        <v>55</v>
      </c>
      <c r="G27" s="12" t="n">
        <v>2500</v>
      </c>
      <c r="H27" s="22" t="n">
        <v>0.6</v>
      </c>
      <c r="I27" s="27" t="n">
        <f aca="false">(E27+F27)/2</f>
        <v>42.5</v>
      </c>
      <c r="J27" s="20" t="n">
        <f aca="false">MAX(1,ROUND(G27*(E27/I27)^2,0))</f>
        <v>1246</v>
      </c>
      <c r="K27" s="20" t="n">
        <f aca="false">MAX(1,ROUND(G27*(F27/I27)^2,0))</f>
        <v>4187</v>
      </c>
      <c r="L27" s="20" t="n">
        <f aca="false">G27*(E27^2+2*E27*(F27-E27)/(1+가정!$B$5)+(F27-E27)^2/(1+2*가정!$B$5))/I27^2</f>
        <v>2175.20256184315</v>
      </c>
      <c r="M27" s="4" t="str">
        <f aca="false">INDEX(등급!$A$4:$A$8,MATCH(J27,등급!$B$4:$B$8,1))</f>
        <v>영웅</v>
      </c>
      <c r="N27" s="14" t="n">
        <f aca="false">MATCH(K27,등급!$B$4:$B$8,1)-1</f>
        <v>4</v>
      </c>
      <c r="O27" s="4" t="str">
        <f aca="false">INDEX(등급!$A$4:$A$8,N27+1)</f>
        <v>전설</v>
      </c>
      <c r="P27" s="28" t="n">
        <f aca="false">MIN(1,H27*가정!$B$24+(MATCH(J27,등급!$B$4:$B$8,1)-1)*가정!$B$25)</f>
        <v>0.57</v>
      </c>
      <c r="Q27" s="28" t="n">
        <f aca="false">MIN(1,H27*가정!$B$24+N27*가정!$B$25+가정!$B$26)</f>
        <v>0.74</v>
      </c>
      <c r="R27" s="29" t="n">
        <f aca="false">장비!$F$5*(1-Q27*가정!$B$14)*가정!$B$15</f>
        <v>0.17388</v>
      </c>
      <c r="S27" s="29" t="n">
        <f aca="false">장비!$F$9*(1-Q27*가정!$B$14)*가정!$B$15</f>
        <v>0.297045</v>
      </c>
      <c r="T27" s="14" t="n">
        <f aca="false">MATCH(G27,등급!$B$4:$B$8,1)-1</f>
        <v>4</v>
      </c>
    </row>
    <row r="28" customFormat="false" ht="15" hidden="false" customHeight="false" outlineLevel="0" collapsed="false">
      <c r="A28" s="4" t="s">
        <v>226</v>
      </c>
      <c r="B28" s="11" t="s">
        <v>227</v>
      </c>
      <c r="C28" s="11" t="s">
        <v>188</v>
      </c>
      <c r="D28" s="4" t="s">
        <v>225</v>
      </c>
      <c r="E28" s="9" t="n">
        <v>90</v>
      </c>
      <c r="F28" s="9" t="n">
        <v>180</v>
      </c>
      <c r="G28" s="12" t="n">
        <v>1800</v>
      </c>
      <c r="H28" s="22" t="n">
        <v>0.55</v>
      </c>
      <c r="I28" s="27" t="n">
        <f aca="false">(E28+F28)/2</f>
        <v>135</v>
      </c>
      <c r="J28" s="20" t="n">
        <f aca="false">MAX(1,ROUND(G28*(E28/I28)^2,0))</f>
        <v>800</v>
      </c>
      <c r="K28" s="20" t="n">
        <f aca="false">MAX(1,ROUND(G28*(F28/I28)^2,0))</f>
        <v>3200</v>
      </c>
      <c r="L28" s="20" t="n">
        <f aca="false">G28*(E28^2+2*E28*(F28-E28)/(1+가정!$B$5)+(F28-E28)^2/(1+2*가정!$B$5))/I28^2</f>
        <v>1545.34161490683</v>
      </c>
      <c r="M28" s="4" t="str">
        <f aca="false">INDEX(등급!$A$4:$A$8,MATCH(J28,등급!$B$4:$B$8,1))</f>
        <v>영웅</v>
      </c>
      <c r="N28" s="14" t="n">
        <f aca="false">MATCH(K28,등급!$B$4:$B$8,1)-1</f>
        <v>4</v>
      </c>
      <c r="O28" s="4" t="str">
        <f aca="false">INDEX(등급!$A$4:$A$8,N28+1)</f>
        <v>전설</v>
      </c>
      <c r="P28" s="28" t="n">
        <f aca="false">MIN(1,H28*가정!$B$24+(MATCH(J28,등급!$B$4:$B$8,1)-1)*가정!$B$25)</f>
        <v>0.535</v>
      </c>
      <c r="Q28" s="28" t="n">
        <f aca="false">MIN(1,H28*가정!$B$24+N28*가정!$B$25+가정!$B$26)</f>
        <v>0.705</v>
      </c>
      <c r="R28" s="29" t="n">
        <f aca="false">장비!$F$5*(1-Q28*가정!$B$14)*가정!$B$15</f>
        <v>0.17871</v>
      </c>
      <c r="S28" s="29" t="n">
        <f aca="false">장비!$F$9*(1-Q28*가정!$B$14)*가정!$B$15</f>
        <v>0.30529625</v>
      </c>
      <c r="T28" s="14" t="n">
        <f aca="false">MATCH(G28,등급!$B$4:$B$8,1)-1</f>
        <v>3</v>
      </c>
    </row>
    <row r="29" customFormat="false" ht="15" hidden="false" customHeight="false" outlineLevel="0" collapsed="false">
      <c r="A29" s="4" t="s">
        <v>228</v>
      </c>
      <c r="B29" s="11" t="s">
        <v>229</v>
      </c>
      <c r="C29" s="11" t="s">
        <v>179</v>
      </c>
      <c r="D29" s="4" t="s">
        <v>225</v>
      </c>
      <c r="E29" s="9" t="n">
        <v>50</v>
      </c>
      <c r="F29" s="9" t="n">
        <v>120</v>
      </c>
      <c r="G29" s="12" t="n">
        <v>6000</v>
      </c>
      <c r="H29" s="22" t="n">
        <v>0.85</v>
      </c>
      <c r="I29" s="27" t="n">
        <f aca="false">(E29+F29)/2</f>
        <v>85</v>
      </c>
      <c r="J29" s="20" t="n">
        <f aca="false">MAX(1,ROUND(G29*(E29/I29)^2,0))</f>
        <v>2076</v>
      </c>
      <c r="K29" s="20" t="n">
        <f aca="false">MAX(1,ROUND(G29*(F29/I29)^2,0))</f>
        <v>11958</v>
      </c>
      <c r="L29" s="20" t="n">
        <f aca="false">G29*(E29^2+2*E29*(F29-E29)/(1+가정!$B$5)+(F29-E29)^2/(1+2*가정!$B$5))/I29^2</f>
        <v>5036.85873326313</v>
      </c>
      <c r="M29" s="4" t="str">
        <f aca="false">INDEX(등급!$A$4:$A$8,MATCH(J29,등급!$B$4:$B$8,1))</f>
        <v>영웅</v>
      </c>
      <c r="N29" s="14" t="n">
        <f aca="false">MATCH(K29,등급!$B$4:$B$8,1)-1</f>
        <v>4</v>
      </c>
      <c r="O29" s="4" t="str">
        <f aca="false">INDEX(등급!$A$4:$A$8,N29+1)</f>
        <v>전설</v>
      </c>
      <c r="P29" s="28" t="n">
        <f aca="false">MIN(1,H29*가정!$B$24+(MATCH(J29,등급!$B$4:$B$8,1)-1)*가정!$B$25)</f>
        <v>0.745</v>
      </c>
      <c r="Q29" s="28" t="n">
        <f aca="false">MIN(1,H29*가정!$B$24+N29*가정!$B$25+가정!$B$26)</f>
        <v>0.915</v>
      </c>
      <c r="R29" s="29" t="n">
        <f aca="false">장비!$F$5*(1-Q29*가정!$B$14)*가정!$B$15</f>
        <v>0.14973</v>
      </c>
      <c r="S29" s="29" t="n">
        <f aca="false">장비!$F$9*(1-Q29*가정!$B$14)*가정!$B$15</f>
        <v>0.25578875</v>
      </c>
      <c r="T29" s="14" t="n">
        <f aca="false">MATCH(G29,등급!$B$4:$B$8,1)-1</f>
        <v>4</v>
      </c>
    </row>
    <row r="30" customFormat="false" ht="15" hidden="false" customHeight="false" outlineLevel="0" collapsed="false">
      <c r="A30" s="4" t="s">
        <v>230</v>
      </c>
      <c r="B30" s="11" t="s">
        <v>231</v>
      </c>
      <c r="C30" s="11" t="s">
        <v>188</v>
      </c>
      <c r="D30" s="4" t="s">
        <v>225</v>
      </c>
      <c r="E30" s="9" t="n">
        <v>100</v>
      </c>
      <c r="F30" s="9" t="n">
        <v>220</v>
      </c>
      <c r="G30" s="12" t="n">
        <v>20000</v>
      </c>
      <c r="H30" s="22" t="n">
        <v>0.99</v>
      </c>
      <c r="I30" s="27" t="n">
        <f aca="false">(E30+F30)/2</f>
        <v>160</v>
      </c>
      <c r="J30" s="20" t="n">
        <f aca="false">MAX(1,ROUND(G30*(E30/I30)^2,0))</f>
        <v>7813</v>
      </c>
      <c r="K30" s="20" t="n">
        <f aca="false">MAX(1,ROUND(G30*(F30/I30)^2,0))</f>
        <v>37813</v>
      </c>
      <c r="L30" s="20" t="n">
        <f aca="false">G30*(E30^2+2*E30*(F30-E30)/(1+가정!$B$5)+(F30-E30)^2/(1+2*가정!$B$5))/I30^2</f>
        <v>16954.5807453416</v>
      </c>
      <c r="M30" s="4" t="str">
        <f aca="false">INDEX(등급!$A$4:$A$8,MATCH(J30,등급!$B$4:$B$8,1))</f>
        <v>전설</v>
      </c>
      <c r="N30" s="14" t="n">
        <f aca="false">MATCH(K30,등급!$B$4:$B$8,1)-1</f>
        <v>4</v>
      </c>
      <c r="O30" s="4" t="str">
        <f aca="false">INDEX(등급!$A$4:$A$8,N30+1)</f>
        <v>전설</v>
      </c>
      <c r="P30" s="28" t="n">
        <f aca="false">MIN(1,H30*가정!$B$24+(MATCH(J30,등급!$B$4:$B$8,1)-1)*가정!$B$25)</f>
        <v>0.893</v>
      </c>
      <c r="Q30" s="28" t="n">
        <f aca="false">MIN(1,H30*가정!$B$24+N30*가정!$B$25+가정!$B$26)</f>
        <v>1</v>
      </c>
      <c r="R30" s="29" t="n">
        <f aca="false">장비!$F$5*(1-Q30*가정!$B$14)*가정!$B$15</f>
        <v>0.138</v>
      </c>
      <c r="S30" s="29" t="n">
        <f aca="false">장비!$F$9*(1-Q30*가정!$B$14)*가정!$B$15</f>
        <v>0.23575</v>
      </c>
      <c r="T30" s="14" t="n">
        <f aca="false">MATCH(G30,등급!$B$4:$B$8,1)-1</f>
        <v>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4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10"/>
    <col collapsed="false" customWidth="true" hidden="false" outlineLevel="0" max="6" min="6" style="0" width="12"/>
    <col collapsed="false" customWidth="true" hidden="false" outlineLevel="0" max="7" min="7" style="0" width="20"/>
    <col collapsed="false" customWidth="true" hidden="false" outlineLevel="0" max="10" min="8" style="0" width="14"/>
    <col collapsed="false" customWidth="true" hidden="false" outlineLevel="0" max="11" min="11" style="0" width="12"/>
    <col collapsed="false" customWidth="true" hidden="false" outlineLevel="0" max="12" min="12" style="0" width="4"/>
    <col collapsed="false" customWidth="true" hidden="false" outlineLevel="0" max="14" min="13" style="0" width="14"/>
    <col collapsed="false" customWidth="true" hidden="false" outlineLevel="0" max="19" min="15" style="0" width="10"/>
  </cols>
  <sheetData>
    <row r="1" customFormat="false" ht="16.15" hidden="false" customHeight="false" outlineLevel="0" collapsed="false">
      <c r="A1" s="1" t="s">
        <v>232</v>
      </c>
    </row>
    <row r="2" customFormat="false" ht="15" hidden="false" customHeight="false" outlineLevel="0" collapsed="false">
      <c r="A2" s="2" t="s">
        <v>233</v>
      </c>
    </row>
    <row r="4" customFormat="false" ht="31.5" hidden="false" customHeight="true" outlineLevel="0" collapsed="false">
      <c r="A4" s="3" t="s">
        <v>234</v>
      </c>
      <c r="B4" s="3" t="s">
        <v>235</v>
      </c>
      <c r="C4" s="3" t="s">
        <v>236</v>
      </c>
      <c r="D4" s="3" t="s">
        <v>237</v>
      </c>
      <c r="E4" s="3" t="s">
        <v>238</v>
      </c>
      <c r="F4" s="3" t="s">
        <v>168</v>
      </c>
      <c r="G4" s="3" t="s">
        <v>239</v>
      </c>
      <c r="H4" s="3" t="s">
        <v>240</v>
      </c>
      <c r="I4" s="3" t="s">
        <v>241</v>
      </c>
      <c r="J4" s="3" t="s">
        <v>242</v>
      </c>
    </row>
    <row r="5" customFormat="false" ht="15" hidden="false" customHeight="false" outlineLevel="0" collapsed="false">
      <c r="A5" s="4" t="s">
        <v>243</v>
      </c>
      <c r="B5" s="4" t="s">
        <v>244</v>
      </c>
      <c r="C5" s="12" t="n">
        <v>0</v>
      </c>
      <c r="D5" s="11" t="s">
        <v>179</v>
      </c>
      <c r="E5" s="14" t="n">
        <f aca="false">COUNTIF($A$14:$A$44,B5)</f>
        <v>3</v>
      </c>
      <c r="F5" s="20" t="n">
        <f aca="false">SUMIF($A$14:$A$44,B5,$G$14:$G$44)</f>
        <v>15.9562934336509</v>
      </c>
      <c r="G5" s="24" t="n">
        <f aca="false">ROUNDUP((C6-가정!$B$12)/F5,0)</f>
        <v>0</v>
      </c>
      <c r="H5" s="14" t="n">
        <f aca="false">COUNTIFS($A$14:$A$44,B5,$I$14:$I$44,"전설")</f>
        <v>0</v>
      </c>
      <c r="I5" s="20" t="n">
        <f aca="false">SUMIF($A$14:$A$44,B5,$M$14:$M$44)</f>
        <v>15.5107341598645</v>
      </c>
      <c r="J5" s="20" t="n">
        <f aca="false">SUMIF($A$14:$A$44,B5,$N$14:$N$44)</f>
        <v>16.5397899764719</v>
      </c>
    </row>
    <row r="6" customFormat="false" ht="15" hidden="false" customHeight="false" outlineLevel="0" collapsed="false">
      <c r="A6" s="4" t="s">
        <v>245</v>
      </c>
      <c r="B6" s="4" t="s">
        <v>246</v>
      </c>
      <c r="C6" s="12" t="n">
        <v>150</v>
      </c>
      <c r="D6" s="11" t="s">
        <v>179</v>
      </c>
      <c r="E6" s="14" t="n">
        <f aca="false">COUNTIF($A$14:$A$44,B6)</f>
        <v>7</v>
      </c>
      <c r="F6" s="20" t="n">
        <f aca="false">SUMIF($A$14:$A$44,B6,$G$14:$G$44)</f>
        <v>47.0148669809363</v>
      </c>
      <c r="G6" s="24" t="n">
        <f aca="false">ROUNDUP(C7/F6,0)</f>
        <v>32</v>
      </c>
      <c r="H6" s="14" t="n">
        <f aca="false">COUNTIFS($A$14:$A$44,B6,$I$14:$I$44,"전설")</f>
        <v>1</v>
      </c>
      <c r="I6" s="20" t="n">
        <f aca="false">SUMIF($A$14:$A$44,B6,$M$14:$M$44)</f>
        <v>34.6166477771951</v>
      </c>
      <c r="J6" s="20" t="n">
        <f aca="false">SUMIF($A$14:$A$44,B6,$N$14:$N$44)</f>
        <v>66.7160206581735</v>
      </c>
    </row>
    <row r="7" customFormat="false" ht="15" hidden="false" customHeight="false" outlineLevel="0" collapsed="false">
      <c r="A7" s="4" t="s">
        <v>247</v>
      </c>
      <c r="B7" s="4" t="s">
        <v>248</v>
      </c>
      <c r="C7" s="12" t="n">
        <v>1500</v>
      </c>
      <c r="D7" s="11" t="s">
        <v>179</v>
      </c>
      <c r="E7" s="14" t="n">
        <f aca="false">COUNTIF($A$14:$A$44,B7)</f>
        <v>8</v>
      </c>
      <c r="F7" s="20" t="n">
        <f aca="false">SUMIF($A$14:$A$44,B7,$G$14:$G$44)</f>
        <v>122.221537481253</v>
      </c>
      <c r="G7" s="24" t="n">
        <f aca="false">ROUNDUP(C8/F7,0)</f>
        <v>33</v>
      </c>
      <c r="H7" s="14" t="n">
        <f aca="false">COUNTIFS($A$14:$A$44,B7,$I$14:$I$44,"전설")</f>
        <v>1</v>
      </c>
      <c r="I7" s="20" t="n">
        <f aca="false">SUMIF($A$14:$A$44,B7,$M$14:$M$44)</f>
        <v>88.4793821300199</v>
      </c>
      <c r="J7" s="20" t="n">
        <f aca="false">SUMIF($A$14:$A$44,B7,$N$14:$N$44)</f>
        <v>168.298288084171</v>
      </c>
    </row>
    <row r="8" customFormat="false" ht="15" hidden="false" customHeight="false" outlineLevel="0" collapsed="false">
      <c r="A8" s="4" t="s">
        <v>249</v>
      </c>
      <c r="B8" s="4" t="s">
        <v>250</v>
      </c>
      <c r="C8" s="12" t="n">
        <v>4000</v>
      </c>
      <c r="D8" s="11" t="s">
        <v>188</v>
      </c>
      <c r="E8" s="14" t="n">
        <f aca="false">COUNTIF($A$14:$A$44,B8)</f>
        <v>6</v>
      </c>
      <c r="F8" s="20" t="n">
        <f aca="false">SUMIF($A$14:$A$44,B8,$G$14:$G$44)</f>
        <v>758.269279988315</v>
      </c>
      <c r="G8" s="4" t="s">
        <v>251</v>
      </c>
      <c r="H8" s="14" t="n">
        <f aca="false">COUNTIFS($A$14:$A$44,B8,$I$14:$I$44,"전설")</f>
        <v>3</v>
      </c>
      <c r="I8" s="20" t="n">
        <f aca="false">SUMIF($A$14:$A$44,B8,$M$14:$M$44)</f>
        <v>588.258441092311</v>
      </c>
      <c r="J8" s="20" t="n">
        <f aca="false">SUMIF($A$14:$A$44,B8,$N$14:$N$44)</f>
        <v>959.735272708961</v>
      </c>
    </row>
    <row r="9" customFormat="false" ht="15" hidden="false" customHeight="false" outlineLevel="0" collapsed="false">
      <c r="A9" s="4" t="s">
        <v>252</v>
      </c>
      <c r="B9" s="4" t="s">
        <v>253</v>
      </c>
      <c r="C9" s="4" t="s">
        <v>254</v>
      </c>
      <c r="D9" s="11" t="s">
        <v>188</v>
      </c>
      <c r="E9" s="14" t="n">
        <f aca="false">COUNTIF($A$14:$A$44,B9)</f>
        <v>7</v>
      </c>
      <c r="F9" s="20" t="n">
        <f aca="false">SUMIF($A$14:$A$44,B9,$G$14:$G$44)</f>
        <v>1944.80772047492</v>
      </c>
      <c r="G9" s="4" t="s">
        <v>251</v>
      </c>
      <c r="H9" s="14" t="n">
        <f aca="false">COUNTIFS($A$14:$A$44,B9,$I$14:$I$44,"전설")</f>
        <v>6</v>
      </c>
      <c r="I9" s="20" t="n">
        <f aca="false">SUMIF($A$14:$A$44,B9,$M$14:$M$44)</f>
        <v>1806.84392337803</v>
      </c>
      <c r="J9" s="20" t="n">
        <f aca="false">SUMIF($A$14:$A$44,B9,$N$14:$N$44)</f>
        <v>2104.83864095855</v>
      </c>
    </row>
    <row r="12" customFormat="false" ht="15" hidden="false" customHeight="false" outlineLevel="0" collapsed="false">
      <c r="A12" s="30" t="s">
        <v>255</v>
      </c>
    </row>
    <row r="13" customFormat="false" ht="31.5" hidden="false" customHeight="true" outlineLevel="0" collapsed="false">
      <c r="A13" s="3" t="s">
        <v>235</v>
      </c>
      <c r="B13" s="3" t="s">
        <v>256</v>
      </c>
      <c r="C13" s="3" t="s">
        <v>116</v>
      </c>
      <c r="D13" s="3" t="s">
        <v>159</v>
      </c>
      <c r="E13" s="3" t="s">
        <v>257</v>
      </c>
      <c r="F13" s="3" t="s">
        <v>258</v>
      </c>
      <c r="G13" s="3" t="s">
        <v>259</v>
      </c>
      <c r="H13" s="3" t="s">
        <v>168</v>
      </c>
      <c r="I13" s="3" t="s">
        <v>171</v>
      </c>
      <c r="J13" s="3" t="s">
        <v>260</v>
      </c>
      <c r="K13" s="3" t="s">
        <v>261</v>
      </c>
      <c r="L13" s="3"/>
      <c r="M13" s="3" t="s">
        <v>262</v>
      </c>
      <c r="N13" s="3" t="s">
        <v>263</v>
      </c>
      <c r="O13" s="3" t="s">
        <v>161</v>
      </c>
      <c r="P13" s="3" t="s">
        <v>162</v>
      </c>
      <c r="Q13" s="3" t="s">
        <v>163</v>
      </c>
      <c r="R13" s="3" t="s">
        <v>165</v>
      </c>
      <c r="S13" s="3" t="s">
        <v>264</v>
      </c>
    </row>
    <row r="14" customFormat="false" ht="15" hidden="false" customHeight="false" outlineLevel="0" collapsed="false">
      <c r="A14" s="4" t="s">
        <v>244</v>
      </c>
      <c r="B14" s="4" t="s">
        <v>177</v>
      </c>
      <c r="C14" s="31" t="str">
        <f aca="false">물고기!B5</f>
        <v>붕어</v>
      </c>
      <c r="D14" s="31" t="str">
        <f aca="false">물고기!C5</f>
        <v>찌낚시</v>
      </c>
      <c r="E14" s="32" t="n">
        <v>70</v>
      </c>
      <c r="F14" s="29" t="n">
        <f aca="false">E14/SUMIF($A$14:$A$44,A14,$E$14:$E$44)</f>
        <v>0.7</v>
      </c>
      <c r="G14" s="20" t="n">
        <f aca="false">F14*H14</f>
        <v>7.02324755989352</v>
      </c>
      <c r="H14" s="5" t="n">
        <f aca="false">물고기!L5</f>
        <v>10.0332107998479</v>
      </c>
      <c r="I14" s="31" t="str">
        <f aca="false">물고기!O5</f>
        <v>일반</v>
      </c>
      <c r="J14" s="28" t="n">
        <f aca="false">E14*(1+가정!$B$27)^(-물고기!T5)</f>
        <v>70</v>
      </c>
      <c r="K14" s="28" t="n">
        <f aca="false">E14*(1+가정!$B$27)^(물고기!T5)</f>
        <v>70</v>
      </c>
      <c r="M14" s="20" t="n">
        <f aca="false">J14/SUMIF($A$14:$A$44,A14,$J$14:$J$44)*H14</f>
        <v>7.11548533272514</v>
      </c>
      <c r="N14" s="20" t="n">
        <f aca="false">K14/SUMIF($A$14:$A$44,A14,$K$14:$K$44)*H14</f>
        <v>6.90245460431796</v>
      </c>
      <c r="O14" s="31" t="n">
        <f aca="false">물고기!E5</f>
        <v>12</v>
      </c>
      <c r="P14" s="31" t="n">
        <f aca="false">물고기!F5</f>
        <v>30</v>
      </c>
      <c r="Q14" s="5" t="n">
        <f aca="false">물고기!G5</f>
        <v>12</v>
      </c>
      <c r="R14" s="33" t="n">
        <f aca="false">물고기!I5</f>
        <v>21</v>
      </c>
      <c r="S14" s="31" t="n">
        <f aca="false">물고기!T5</f>
        <v>0</v>
      </c>
    </row>
    <row r="15" customFormat="false" ht="15" hidden="false" customHeight="false" outlineLevel="0" collapsed="false">
      <c r="A15" s="4" t="s">
        <v>244</v>
      </c>
      <c r="B15" s="4" t="s">
        <v>180</v>
      </c>
      <c r="C15" s="31" t="str">
        <f aca="false">물고기!B6</f>
        <v>향어</v>
      </c>
      <c r="D15" s="31" t="str">
        <f aca="false">물고기!C6</f>
        <v>찌낚시</v>
      </c>
      <c r="E15" s="32" t="n">
        <v>25</v>
      </c>
      <c r="F15" s="29" t="n">
        <f aca="false">E15/SUMIF($A$14:$A$44,A15,$E$14:$E$44)</f>
        <v>0.25</v>
      </c>
      <c r="G15" s="20" t="n">
        <f aca="false">F15*H15</f>
        <v>6.43892339544513</v>
      </c>
      <c r="H15" s="5" t="n">
        <f aca="false">물고기!L6</f>
        <v>25.7556935817805</v>
      </c>
      <c r="I15" s="31" t="str">
        <f aca="false">물고기!O6</f>
        <v>일반</v>
      </c>
      <c r="J15" s="28" t="n">
        <f aca="false">E15*(1+가정!$B$27)^(-물고기!T6)</f>
        <v>25</v>
      </c>
      <c r="K15" s="28" t="n">
        <f aca="false">E15*(1+가정!$B$27)^(물고기!T6)</f>
        <v>25</v>
      </c>
      <c r="M15" s="20" t="n">
        <f aca="false">J15/SUMIF($A$14:$A$44,A15,$J$14:$J$44)*H15</f>
        <v>6.52348711733653</v>
      </c>
      <c r="N15" s="20" t="n">
        <f aca="false">K15/SUMIF($A$14:$A$44,A15,$K$14:$K$44)*H15</f>
        <v>6.32818024122372</v>
      </c>
      <c r="O15" s="31" t="n">
        <f aca="false">물고기!E6</f>
        <v>25</v>
      </c>
      <c r="P15" s="31" t="n">
        <f aca="false">물고기!F6</f>
        <v>50</v>
      </c>
      <c r="Q15" s="5" t="n">
        <f aca="false">물고기!G6</f>
        <v>30</v>
      </c>
      <c r="R15" s="33" t="n">
        <f aca="false">물고기!I6</f>
        <v>37.5</v>
      </c>
      <c r="S15" s="31" t="n">
        <f aca="false">물고기!T6</f>
        <v>0</v>
      </c>
    </row>
    <row r="16" customFormat="false" ht="15" hidden="false" customHeight="false" outlineLevel="0" collapsed="false">
      <c r="A16" s="4" t="s">
        <v>244</v>
      </c>
      <c r="B16" s="4" t="s">
        <v>182</v>
      </c>
      <c r="C16" s="31" t="str">
        <f aca="false">물고기!B7</f>
        <v>잉어</v>
      </c>
      <c r="D16" s="31" t="str">
        <f aca="false">물고기!C7</f>
        <v>찌낚시</v>
      </c>
      <c r="E16" s="32" t="n">
        <v>5</v>
      </c>
      <c r="F16" s="29" t="n">
        <f aca="false">E16/SUMIF($A$14:$A$44,A16,$E$14:$E$44)</f>
        <v>0.05</v>
      </c>
      <c r="G16" s="20" t="n">
        <f aca="false">F16*H16</f>
        <v>2.4941224783122</v>
      </c>
      <c r="H16" s="5" t="n">
        <f aca="false">물고기!L7</f>
        <v>49.882449566244</v>
      </c>
      <c r="I16" s="31" t="str">
        <f aca="false">물고기!O7</f>
        <v>고급</v>
      </c>
      <c r="J16" s="28" t="n">
        <f aca="false">E16*(1+가정!$B$27)^(-물고기!T7)</f>
        <v>3.7037037037037</v>
      </c>
      <c r="K16" s="28" t="n">
        <f aca="false">E16*(1+가정!$B$27)^(물고기!T7)</f>
        <v>6.75</v>
      </c>
      <c r="M16" s="20" t="n">
        <f aca="false">J16/SUMIF($A$14:$A$44,A16,$J$14:$J$44)*H16</f>
        <v>1.87176170980278</v>
      </c>
      <c r="N16" s="20" t="n">
        <f aca="false">K16/SUMIF($A$14:$A$44,A16,$K$14:$K$44)*H16</f>
        <v>3.30915513093019</v>
      </c>
      <c r="O16" s="31" t="n">
        <f aca="false">물고기!E7</f>
        <v>30</v>
      </c>
      <c r="P16" s="31" t="n">
        <f aca="false">물고기!F7</f>
        <v>80</v>
      </c>
      <c r="Q16" s="5" t="n">
        <f aca="false">물고기!G7</f>
        <v>60</v>
      </c>
      <c r="R16" s="33" t="n">
        <f aca="false">물고기!I7</f>
        <v>55</v>
      </c>
      <c r="S16" s="31" t="n">
        <f aca="false">물고기!T7</f>
        <v>1</v>
      </c>
    </row>
    <row r="17" customFormat="false" ht="15" hidden="false" customHeight="false" outlineLevel="0" collapsed="false">
      <c r="A17" s="4" t="s">
        <v>246</v>
      </c>
      <c r="B17" s="4" t="s">
        <v>184</v>
      </c>
      <c r="C17" s="31" t="str">
        <f aca="false">물고기!B8</f>
        <v>피라미</v>
      </c>
      <c r="D17" s="31" t="str">
        <f aca="false">물고기!C8</f>
        <v>찌낚시</v>
      </c>
      <c r="E17" s="32" t="n">
        <v>35</v>
      </c>
      <c r="F17" s="29" t="n">
        <f aca="false">E17/SUMIF($A$14:$A$44,A17,$E$14:$E$44)</f>
        <v>0.35140562248996</v>
      </c>
      <c r="G17" s="20" t="n">
        <f aca="false">F17*H17</f>
        <v>1.76286334334677</v>
      </c>
      <c r="H17" s="5" t="n">
        <f aca="false">물고기!L8</f>
        <v>5.01660539992395</v>
      </c>
      <c r="I17" s="31" t="str">
        <f aca="false">물고기!O8</f>
        <v>일반</v>
      </c>
      <c r="J17" s="28" t="n">
        <f aca="false">E17*(1+가정!$B$27)^(-물고기!T8)</f>
        <v>35</v>
      </c>
      <c r="K17" s="28" t="n">
        <f aca="false">E17*(1+가정!$B$27)^(물고기!T8)</f>
        <v>35</v>
      </c>
      <c r="M17" s="20" t="n">
        <f aca="false">J17/SUMIF($A$14:$A$44,A17,$J$14:$J$44)*H17</f>
        <v>1.96543759758879</v>
      </c>
      <c r="N17" s="20" t="n">
        <f aca="false">K17/SUMIF($A$14:$A$44,A17,$K$14:$K$44)*H17</f>
        <v>1.53354420949566</v>
      </c>
      <c r="O17" s="31" t="n">
        <f aca="false">물고기!E8</f>
        <v>6</v>
      </c>
      <c r="P17" s="31" t="n">
        <f aca="false">물고기!F8</f>
        <v>15</v>
      </c>
      <c r="Q17" s="5" t="n">
        <f aca="false">물고기!G8</f>
        <v>6</v>
      </c>
      <c r="R17" s="33" t="n">
        <f aca="false">물고기!I8</f>
        <v>10.5</v>
      </c>
      <c r="S17" s="31" t="n">
        <f aca="false">물고기!T8</f>
        <v>0</v>
      </c>
    </row>
    <row r="18" customFormat="false" ht="15" hidden="false" customHeight="false" outlineLevel="0" collapsed="false">
      <c r="A18" s="4" t="s">
        <v>246</v>
      </c>
      <c r="B18" s="4" t="s">
        <v>177</v>
      </c>
      <c r="C18" s="31" t="str">
        <f aca="false">물고기!B5</f>
        <v>붕어</v>
      </c>
      <c r="D18" s="31" t="str">
        <f aca="false">물고기!C5</f>
        <v>찌낚시</v>
      </c>
      <c r="E18" s="32" t="n">
        <v>28</v>
      </c>
      <c r="F18" s="29" t="n">
        <f aca="false">E18/SUMIF($A$14:$A$44,A18,$E$14:$E$44)</f>
        <v>0.281124497991968</v>
      </c>
      <c r="G18" s="20" t="n">
        <f aca="false">F18*H18</f>
        <v>2.82058134935483</v>
      </c>
      <c r="H18" s="5" t="n">
        <f aca="false">물고기!L5</f>
        <v>10.0332107998479</v>
      </c>
      <c r="I18" s="31" t="str">
        <f aca="false">물고기!O5</f>
        <v>일반</v>
      </c>
      <c r="J18" s="28" t="n">
        <f aca="false">E18*(1+가정!$B$27)^(-물고기!T5)</f>
        <v>28</v>
      </c>
      <c r="K18" s="28" t="n">
        <f aca="false">E18*(1+가정!$B$27)^(물고기!T5)</f>
        <v>28</v>
      </c>
      <c r="M18" s="20" t="n">
        <f aca="false">J18/SUMIF($A$14:$A$44,A18,$J$14:$J$44)*H18</f>
        <v>3.14470015614207</v>
      </c>
      <c r="N18" s="20" t="n">
        <f aca="false">K18/SUMIF($A$14:$A$44,A18,$K$14:$K$44)*H18</f>
        <v>2.45367073519305</v>
      </c>
      <c r="O18" s="31" t="n">
        <f aca="false">물고기!E5</f>
        <v>12</v>
      </c>
      <c r="P18" s="31" t="n">
        <f aca="false">물고기!F5</f>
        <v>30</v>
      </c>
      <c r="Q18" s="5" t="n">
        <f aca="false">물고기!G5</f>
        <v>12</v>
      </c>
      <c r="R18" s="33" t="n">
        <f aca="false">물고기!I5</f>
        <v>21</v>
      </c>
      <c r="S18" s="31" t="n">
        <f aca="false">물고기!T5</f>
        <v>0</v>
      </c>
    </row>
    <row r="19" customFormat="false" ht="15" hidden="false" customHeight="false" outlineLevel="0" collapsed="false">
      <c r="A19" s="4" t="s">
        <v>246</v>
      </c>
      <c r="B19" s="4" t="s">
        <v>182</v>
      </c>
      <c r="C19" s="31" t="str">
        <f aca="false">물고기!B7</f>
        <v>잉어</v>
      </c>
      <c r="D19" s="31" t="str">
        <f aca="false">물고기!C7</f>
        <v>찌낚시</v>
      </c>
      <c r="E19" s="32" t="n">
        <v>14</v>
      </c>
      <c r="F19" s="29" t="n">
        <f aca="false">E19/SUMIF($A$14:$A$44,A19,$E$14:$E$44)</f>
        <v>0.140562248995984</v>
      </c>
      <c r="G19" s="20" t="n">
        <f aca="false">F19*H19</f>
        <v>7.01158929646001</v>
      </c>
      <c r="H19" s="5" t="n">
        <f aca="false">물고기!L7</f>
        <v>49.882449566244</v>
      </c>
      <c r="I19" s="31" t="str">
        <f aca="false">물고기!O7</f>
        <v>고급</v>
      </c>
      <c r="J19" s="28" t="n">
        <f aca="false">E19*(1+가정!$B$27)^(-물고기!T7)</f>
        <v>10.3703703703704</v>
      </c>
      <c r="K19" s="28" t="n">
        <f aca="false">E19*(1+가정!$B$27)^(물고기!T7)</f>
        <v>18.9</v>
      </c>
      <c r="M19" s="20" t="n">
        <f aca="false">J19/SUMIF($A$14:$A$44,A19,$J$14:$J$44)*H19</f>
        <v>5.7905966298665</v>
      </c>
      <c r="N19" s="20" t="n">
        <f aca="false">K19/SUMIF($A$14:$A$44,A19,$K$14:$K$44)*H19</f>
        <v>8.23432285744928</v>
      </c>
      <c r="O19" s="31" t="n">
        <f aca="false">물고기!E7</f>
        <v>30</v>
      </c>
      <c r="P19" s="31" t="n">
        <f aca="false">물고기!F7</f>
        <v>80</v>
      </c>
      <c r="Q19" s="5" t="n">
        <f aca="false">물고기!G7</f>
        <v>60</v>
      </c>
      <c r="R19" s="33" t="n">
        <f aca="false">물고기!I7</f>
        <v>55</v>
      </c>
      <c r="S19" s="31" t="n">
        <f aca="false">물고기!T7</f>
        <v>1</v>
      </c>
    </row>
    <row r="20" customFormat="false" ht="15" hidden="false" customHeight="false" outlineLevel="0" collapsed="false">
      <c r="A20" s="4" t="s">
        <v>246</v>
      </c>
      <c r="B20" s="4" t="s">
        <v>186</v>
      </c>
      <c r="C20" s="31" t="str">
        <f aca="false">물고기!B9</f>
        <v>메기</v>
      </c>
      <c r="D20" s="31" t="str">
        <f aca="false">물고기!C9</f>
        <v>릴낚시</v>
      </c>
      <c r="E20" s="32" t="n">
        <v>12</v>
      </c>
      <c r="F20" s="29" t="n">
        <f aca="false">E20/SUMIF($A$14:$A$44,A20,$E$14:$E$44)</f>
        <v>0.120481927710843</v>
      </c>
      <c r="G20" s="20" t="n">
        <f aca="false">F20*H20</f>
        <v>6.9539025667889</v>
      </c>
      <c r="H20" s="5" t="n">
        <f aca="false">물고기!L9</f>
        <v>57.7173913043478</v>
      </c>
      <c r="I20" s="31" t="str">
        <f aca="false">물고기!O9</f>
        <v>고급</v>
      </c>
      <c r="J20" s="28" t="n">
        <f aca="false">E20*(1+가정!$B$27)^(-물고기!T9)</f>
        <v>8.88888888888889</v>
      </c>
      <c r="K20" s="28" t="n">
        <f aca="false">E20*(1+가정!$B$27)^(물고기!T9)</f>
        <v>16.2</v>
      </c>
      <c r="M20" s="20" t="n">
        <f aca="false">J20/SUMIF($A$14:$A$44,A20,$J$14:$J$44)*H20</f>
        <v>5.74295542210349</v>
      </c>
      <c r="N20" s="20" t="n">
        <f aca="false">K20/SUMIF($A$14:$A$44,A20,$K$14:$K$44)*H20</f>
        <v>8.16657628293983</v>
      </c>
      <c r="O20" s="31" t="n">
        <f aca="false">물고기!E9</f>
        <v>30</v>
      </c>
      <c r="P20" s="31" t="n">
        <f aca="false">물고기!F9</f>
        <v>90</v>
      </c>
      <c r="Q20" s="5" t="n">
        <f aca="false">물고기!G9</f>
        <v>70</v>
      </c>
      <c r="R20" s="33" t="n">
        <f aca="false">물고기!I9</f>
        <v>60</v>
      </c>
      <c r="S20" s="31" t="n">
        <f aca="false">물고기!T9</f>
        <v>1</v>
      </c>
    </row>
    <row r="21" customFormat="false" ht="15" hidden="false" customHeight="false" outlineLevel="0" collapsed="false">
      <c r="A21" s="4" t="s">
        <v>246</v>
      </c>
      <c r="B21" s="4" t="s">
        <v>189</v>
      </c>
      <c r="C21" s="31" t="str">
        <f aca="false">물고기!B10</f>
        <v>쏘가리</v>
      </c>
      <c r="D21" s="31" t="str">
        <f aca="false">물고기!C10</f>
        <v>릴낚시</v>
      </c>
      <c r="E21" s="32" t="n">
        <v>7</v>
      </c>
      <c r="F21" s="29" t="n">
        <f aca="false">E21/SUMIF($A$14:$A$44,A21,$E$14:$E$44)</f>
        <v>0.070281124497992</v>
      </c>
      <c r="G21" s="20" t="n">
        <f aca="false">F21*H21</f>
        <v>9.32627126864948</v>
      </c>
      <c r="H21" s="5" t="n">
        <f aca="false">물고기!L10</f>
        <v>132.699516908213</v>
      </c>
      <c r="I21" s="31" t="str">
        <f aca="false">물고기!O10</f>
        <v>희귀</v>
      </c>
      <c r="J21" s="28" t="n">
        <f aca="false">E21*(1+가정!$B$27)^(-물고기!T10)</f>
        <v>5.18518518518519</v>
      </c>
      <c r="K21" s="28" t="n">
        <f aca="false">E21*(1+가정!$B$27)^(물고기!T10)</f>
        <v>9.45</v>
      </c>
      <c r="M21" s="20" t="n">
        <f aca="false">J21/SUMIF($A$14:$A$44,A21,$J$14:$J$44)*H21</f>
        <v>7.70220169694312</v>
      </c>
      <c r="N21" s="20" t="n">
        <f aca="false">K21/SUMIF($A$14:$A$44,A21,$K$14:$K$44)*H21</f>
        <v>10.9526564428104</v>
      </c>
      <c r="O21" s="31" t="n">
        <f aca="false">물고기!E10</f>
        <v>20</v>
      </c>
      <c r="P21" s="31" t="n">
        <f aca="false">물고기!F10</f>
        <v>55</v>
      </c>
      <c r="Q21" s="5" t="n">
        <f aca="false">물고기!G10</f>
        <v>160</v>
      </c>
      <c r="R21" s="33" t="n">
        <f aca="false">물고기!I10</f>
        <v>37.5</v>
      </c>
      <c r="S21" s="31" t="n">
        <f aca="false">물고기!T10</f>
        <v>1</v>
      </c>
    </row>
    <row r="22" customFormat="false" ht="15" hidden="false" customHeight="false" outlineLevel="0" collapsed="false">
      <c r="A22" s="4" t="s">
        <v>246</v>
      </c>
      <c r="B22" s="4" t="s">
        <v>191</v>
      </c>
      <c r="C22" s="31" t="str">
        <f aca="false">물고기!B11</f>
        <v>민물장어</v>
      </c>
      <c r="D22" s="31" t="str">
        <f aca="false">물고기!C11</f>
        <v>릴낚시</v>
      </c>
      <c r="E22" s="32" t="n">
        <v>3</v>
      </c>
      <c r="F22" s="29" t="n">
        <f aca="false">E22/SUMIF($A$14:$A$44,A22,$E$14:$E$44)</f>
        <v>0.0301204819277108</v>
      </c>
      <c r="G22" s="20" t="n">
        <f aca="false">F22*H22</f>
        <v>10.0735048191244</v>
      </c>
      <c r="H22" s="5" t="n">
        <f aca="false">물고기!L11</f>
        <v>334.44035999493</v>
      </c>
      <c r="I22" s="31" t="str">
        <f aca="false">물고기!O11</f>
        <v>영웅</v>
      </c>
      <c r="J22" s="28" t="n">
        <f aca="false">E22*(1+가정!$B$27)^(-물고기!T11)</f>
        <v>1.64609053497942</v>
      </c>
      <c r="K22" s="28" t="n">
        <f aca="false">E22*(1+가정!$B$27)^(물고기!T11)</f>
        <v>5.4675</v>
      </c>
      <c r="M22" s="20" t="n">
        <f aca="false">J22/SUMIF($A$14:$A$44,A22,$J$14:$J$44)*H22</f>
        <v>6.16245376473068</v>
      </c>
      <c r="N22" s="20" t="n">
        <f aca="false">K22/SUMIF($A$14:$A$44,A22,$K$14:$K$44)*H22</f>
        <v>15.9707675531762</v>
      </c>
      <c r="O22" s="31" t="n">
        <f aca="false">물고기!E11</f>
        <v>40</v>
      </c>
      <c r="P22" s="31" t="n">
        <f aca="false">물고기!F11</f>
        <v>100</v>
      </c>
      <c r="Q22" s="5" t="n">
        <f aca="false">물고기!G11</f>
        <v>400</v>
      </c>
      <c r="R22" s="33" t="n">
        <f aca="false">물고기!I11</f>
        <v>70</v>
      </c>
      <c r="S22" s="31" t="n">
        <f aca="false">물고기!T11</f>
        <v>2</v>
      </c>
    </row>
    <row r="23" customFormat="false" ht="15" hidden="false" customHeight="false" outlineLevel="0" collapsed="false">
      <c r="A23" s="4" t="s">
        <v>246</v>
      </c>
      <c r="B23" s="4" t="s">
        <v>193</v>
      </c>
      <c r="C23" s="31" t="str">
        <f aca="false">물고기!B12</f>
        <v>철갑상어</v>
      </c>
      <c r="D23" s="31" t="str">
        <f aca="false">물고기!C12</f>
        <v>릴낚시</v>
      </c>
      <c r="E23" s="32" t="n">
        <v>0.6</v>
      </c>
      <c r="F23" s="29" t="n">
        <f aca="false">E23/SUMIF($A$14:$A$44,A23,$E$14:$E$44)</f>
        <v>0.00602409638554217</v>
      </c>
      <c r="G23" s="20" t="n">
        <f aca="false">F23*H23</f>
        <v>9.06615433721195</v>
      </c>
      <c r="H23" s="5" t="n">
        <f aca="false">물고기!L12</f>
        <v>1504.98161997718</v>
      </c>
      <c r="I23" s="31" t="str">
        <f aca="false">물고기!O12</f>
        <v>전설</v>
      </c>
      <c r="J23" s="28" t="n">
        <f aca="false">E23*(1+가정!$B$27)^(-물고기!T12)</f>
        <v>0.243865264441396</v>
      </c>
      <c r="K23" s="28" t="n">
        <f aca="false">E23*(1+가정!$B$27)^(물고기!T12)</f>
        <v>1.476225</v>
      </c>
      <c r="M23" s="20" t="n">
        <f aca="false">J23/SUMIF($A$14:$A$44,A23,$J$14:$J$44)*H23</f>
        <v>4.10830250982045</v>
      </c>
      <c r="N23" s="20" t="n">
        <f aca="false">K23/SUMIF($A$14:$A$44,A23,$K$14:$K$44)*H23</f>
        <v>19.4044825771091</v>
      </c>
      <c r="O23" s="31" t="n">
        <f aca="false">물고기!E12</f>
        <v>80</v>
      </c>
      <c r="P23" s="31" t="n">
        <f aca="false">물고기!F12</f>
        <v>200</v>
      </c>
      <c r="Q23" s="5" t="n">
        <f aca="false">물고기!G12</f>
        <v>1800</v>
      </c>
      <c r="R23" s="33" t="n">
        <f aca="false">물고기!I12</f>
        <v>140</v>
      </c>
      <c r="S23" s="31" t="n">
        <f aca="false">물고기!T12</f>
        <v>3</v>
      </c>
    </row>
    <row r="24" customFormat="false" ht="15" hidden="false" customHeight="false" outlineLevel="0" collapsed="false">
      <c r="A24" s="4" t="s">
        <v>248</v>
      </c>
      <c r="B24" s="4" t="s">
        <v>195</v>
      </c>
      <c r="C24" s="31" t="str">
        <f aca="false">물고기!B13</f>
        <v>망둥어</v>
      </c>
      <c r="D24" s="31" t="str">
        <f aca="false">물고기!C13</f>
        <v>찌낚시</v>
      </c>
      <c r="E24" s="32" t="n">
        <v>30</v>
      </c>
      <c r="F24" s="29" t="n">
        <f aca="false">E24/SUMIF($A$14:$A$44,A24,$E$14:$E$44)</f>
        <v>0.301507537688442</v>
      </c>
      <c r="G24" s="20" t="n">
        <f aca="false">F24*H24</f>
        <v>3.72056886248397</v>
      </c>
      <c r="H24" s="5" t="n">
        <f aca="false">물고기!L13</f>
        <v>12.3398867272385</v>
      </c>
      <c r="I24" s="31" t="str">
        <f aca="false">물고기!O13</f>
        <v>일반</v>
      </c>
      <c r="J24" s="28" t="n">
        <f aca="false">E24*(1+가정!$B$27)^(-물고기!T13)</f>
        <v>30</v>
      </c>
      <c r="K24" s="28" t="n">
        <f aca="false">E24*(1+가정!$B$27)^(물고기!T13)</f>
        <v>30</v>
      </c>
      <c r="M24" s="20" t="n">
        <f aca="false">J24/SUMIF($A$14:$A$44,A24,$J$14:$J$44)*H24</f>
        <v>4.42384125560499</v>
      </c>
      <c r="N24" s="20" t="n">
        <f aca="false">K24/SUMIF($A$14:$A$44,A24,$K$14:$K$44)*H24</f>
        <v>2.96082372613453</v>
      </c>
      <c r="O24" s="31" t="n">
        <f aca="false">물고기!E13</f>
        <v>8</v>
      </c>
      <c r="P24" s="31" t="n">
        <f aca="false">물고기!F13</f>
        <v>25</v>
      </c>
      <c r="Q24" s="5" t="n">
        <f aca="false">물고기!G13</f>
        <v>15</v>
      </c>
      <c r="R24" s="33" t="n">
        <f aca="false">물고기!I13</f>
        <v>16.5</v>
      </c>
      <c r="S24" s="31" t="n">
        <f aca="false">물고기!T13</f>
        <v>0</v>
      </c>
    </row>
    <row r="25" customFormat="false" ht="15" hidden="false" customHeight="false" outlineLevel="0" collapsed="false">
      <c r="A25" s="4" t="s">
        <v>248</v>
      </c>
      <c r="B25" s="4" t="s">
        <v>197</v>
      </c>
      <c r="C25" s="31" t="str">
        <f aca="false">물고기!B14</f>
        <v>전갱이</v>
      </c>
      <c r="D25" s="31" t="str">
        <f aca="false">물고기!C14</f>
        <v>릴낚시</v>
      </c>
      <c r="E25" s="32" t="n">
        <v>22</v>
      </c>
      <c r="F25" s="29" t="n">
        <f aca="false">E25/SUMIF($A$14:$A$44,A25,$E$14:$E$44)</f>
        <v>0.221105527638191</v>
      </c>
      <c r="G25" s="20" t="n">
        <f aca="false">F25*H25</f>
        <v>6.43374977655074</v>
      </c>
      <c r="H25" s="5" t="n">
        <f aca="false">물고기!L14</f>
        <v>29.098095580309</v>
      </c>
      <c r="I25" s="31" t="str">
        <f aca="false">물고기!O14</f>
        <v>고급</v>
      </c>
      <c r="J25" s="28" t="n">
        <f aca="false">E25*(1+가정!$B$27)^(-물고기!T14)</f>
        <v>22</v>
      </c>
      <c r="K25" s="28" t="n">
        <f aca="false">E25*(1+가정!$B$27)^(물고기!T14)</f>
        <v>22</v>
      </c>
      <c r="M25" s="20" t="n">
        <f aca="false">J25/SUMIF($A$14:$A$44,A25,$J$14:$J$44)*H25</f>
        <v>7.64987525879106</v>
      </c>
      <c r="N25" s="20" t="n">
        <f aca="false">K25/SUMIF($A$14:$A$44,A25,$K$14:$K$44)*H25</f>
        <v>5.11996946985851</v>
      </c>
      <c r="O25" s="31" t="n">
        <f aca="false">물고기!E14</f>
        <v>15</v>
      </c>
      <c r="P25" s="31" t="n">
        <f aca="false">물고기!F14</f>
        <v>40</v>
      </c>
      <c r="Q25" s="5" t="n">
        <f aca="false">물고기!G14</f>
        <v>35</v>
      </c>
      <c r="R25" s="33" t="n">
        <f aca="false">물고기!I14</f>
        <v>27.5</v>
      </c>
      <c r="S25" s="31" t="n">
        <f aca="false">물고기!T14</f>
        <v>0</v>
      </c>
    </row>
    <row r="26" customFormat="false" ht="15" hidden="false" customHeight="false" outlineLevel="0" collapsed="false">
      <c r="A26" s="4" t="s">
        <v>248</v>
      </c>
      <c r="B26" s="4" t="s">
        <v>199</v>
      </c>
      <c r="C26" s="31" t="str">
        <f aca="false">물고기!B15</f>
        <v>고등어</v>
      </c>
      <c r="D26" s="31" t="str">
        <f aca="false">물고기!C15</f>
        <v>릴낚시</v>
      </c>
      <c r="E26" s="32" t="n">
        <v>18</v>
      </c>
      <c r="F26" s="29" t="n">
        <f aca="false">E26/SUMIF($A$14:$A$44,A26,$E$14:$E$44)</f>
        <v>0.180904522613065</v>
      </c>
      <c r="G26" s="20" t="n">
        <f aca="false">F26*H26</f>
        <v>9.3186429039608</v>
      </c>
      <c r="H26" s="5" t="n">
        <f aca="false">물고기!L15</f>
        <v>51.5113871635611</v>
      </c>
      <c r="I26" s="31" t="str">
        <f aca="false">물고기!O15</f>
        <v>고급</v>
      </c>
      <c r="J26" s="28" t="n">
        <f aca="false">E26*(1+가정!$B$27)^(-물고기!T15)</f>
        <v>13.3333333333333</v>
      </c>
      <c r="K26" s="28" t="n">
        <f aca="false">E26*(1+가정!$B$27)^(물고기!T15)</f>
        <v>24.3</v>
      </c>
      <c r="M26" s="20" t="n">
        <f aca="false">J26/SUMIF($A$14:$A$44,A26,$J$14:$J$44)*H26</f>
        <v>8.20746592662871</v>
      </c>
      <c r="N26" s="20" t="n">
        <f aca="false">K26/SUMIF($A$14:$A$44,A26,$K$14:$K$44)*H26</f>
        <v>10.0112808105512</v>
      </c>
      <c r="O26" s="31" t="n">
        <f aca="false">물고기!E15</f>
        <v>25</v>
      </c>
      <c r="P26" s="31" t="n">
        <f aca="false">물고기!F15</f>
        <v>50</v>
      </c>
      <c r="Q26" s="5" t="n">
        <f aca="false">물고기!G15</f>
        <v>60</v>
      </c>
      <c r="R26" s="33" t="n">
        <f aca="false">물고기!I15</f>
        <v>37.5</v>
      </c>
      <c r="S26" s="31" t="n">
        <f aca="false">물고기!T15</f>
        <v>1</v>
      </c>
    </row>
    <row r="27" customFormat="false" ht="15" hidden="false" customHeight="false" outlineLevel="0" collapsed="false">
      <c r="A27" s="4" t="s">
        <v>248</v>
      </c>
      <c r="B27" s="4" t="s">
        <v>201</v>
      </c>
      <c r="C27" s="31" t="str">
        <f aca="false">물고기!B16</f>
        <v>우럭</v>
      </c>
      <c r="D27" s="31" t="str">
        <f aca="false">물고기!C16</f>
        <v>찌낚시</v>
      </c>
      <c r="E27" s="32" t="n">
        <v>12</v>
      </c>
      <c r="F27" s="29" t="n">
        <f aca="false">E27/SUMIF($A$14:$A$44,A27,$E$14:$E$44)</f>
        <v>0.120603015075377</v>
      </c>
      <c r="G27" s="20" t="n">
        <f aca="false">F27*H27</f>
        <v>15.1254434168561</v>
      </c>
      <c r="H27" s="5" t="n">
        <f aca="false">물고기!L16</f>
        <v>125.415134998099</v>
      </c>
      <c r="I27" s="31" t="str">
        <f aca="false">물고기!O16</f>
        <v>희귀</v>
      </c>
      <c r="J27" s="28" t="n">
        <f aca="false">E27*(1+가정!$B$27)^(-물고기!T16)</f>
        <v>8.88888888888889</v>
      </c>
      <c r="K27" s="28" t="n">
        <f aca="false">E27*(1+가정!$B$27)^(물고기!T16)</f>
        <v>16.2</v>
      </c>
      <c r="M27" s="20" t="n">
        <f aca="false">J27/SUMIF($A$14:$A$44,A27,$J$14:$J$44)*H27</f>
        <v>13.3218498389108</v>
      </c>
      <c r="N27" s="20" t="n">
        <f aca="false">K27/SUMIF($A$14:$A$44,A27,$K$14:$K$44)*H27</f>
        <v>16.2496903241016</v>
      </c>
      <c r="O27" s="31" t="n">
        <f aca="false">물고기!E16</f>
        <v>20</v>
      </c>
      <c r="P27" s="31" t="n">
        <f aca="false">물고기!F16</f>
        <v>50</v>
      </c>
      <c r="Q27" s="5" t="n">
        <f aca="false">물고기!G16</f>
        <v>150</v>
      </c>
      <c r="R27" s="33" t="n">
        <f aca="false">물고기!I16</f>
        <v>35</v>
      </c>
      <c r="S27" s="31" t="n">
        <f aca="false">물고기!T16</f>
        <v>1</v>
      </c>
    </row>
    <row r="28" customFormat="false" ht="15" hidden="false" customHeight="false" outlineLevel="0" collapsed="false">
      <c r="A28" s="4" t="s">
        <v>248</v>
      </c>
      <c r="B28" s="4" t="s">
        <v>203</v>
      </c>
      <c r="C28" s="31" t="str">
        <f aca="false">물고기!B17</f>
        <v>감성돔</v>
      </c>
      <c r="D28" s="31" t="str">
        <f aca="false">물고기!C17</f>
        <v>찌낚시</v>
      </c>
      <c r="E28" s="32" t="n">
        <v>8</v>
      </c>
      <c r="F28" s="29" t="n">
        <f aca="false">E28/SUMIF($A$14:$A$44,A28,$E$14:$E$44)</f>
        <v>0.0804020100502513</v>
      </c>
      <c r="G28" s="20" t="n">
        <f aca="false">F28*H28</f>
        <v>30.3730174870138</v>
      </c>
      <c r="H28" s="5" t="n">
        <f aca="false">물고기!L17</f>
        <v>377.764404994735</v>
      </c>
      <c r="I28" s="31" t="str">
        <f aca="false">물고기!O17</f>
        <v>영웅</v>
      </c>
      <c r="J28" s="28" t="n">
        <f aca="false">E28*(1+가정!$B$27)^(-물고기!T17)</f>
        <v>4.38957475994513</v>
      </c>
      <c r="K28" s="28" t="n">
        <f aca="false">E28*(1+가정!$B$27)^(물고기!T17)</f>
        <v>14.58</v>
      </c>
      <c r="M28" s="20" t="n">
        <f aca="false">J28/SUMIF($A$14:$A$44,A28,$J$14:$J$44)*H28</f>
        <v>19.8157534694248</v>
      </c>
      <c r="N28" s="20" t="n">
        <f aca="false">K28/SUMIF($A$14:$A$44,A28,$K$14:$K$44)*H28</f>
        <v>44.051295220895</v>
      </c>
      <c r="O28" s="31" t="n">
        <f aca="false">물고기!E17</f>
        <v>25</v>
      </c>
      <c r="P28" s="31" t="n">
        <f aca="false">물고기!F17</f>
        <v>60</v>
      </c>
      <c r="Q28" s="5" t="n">
        <f aca="false">물고기!G17</f>
        <v>450</v>
      </c>
      <c r="R28" s="33" t="n">
        <f aca="false">물고기!I17</f>
        <v>42.5</v>
      </c>
      <c r="S28" s="31" t="n">
        <f aca="false">물고기!T17</f>
        <v>2</v>
      </c>
    </row>
    <row r="29" customFormat="false" ht="15" hidden="false" customHeight="false" outlineLevel="0" collapsed="false">
      <c r="A29" s="4" t="s">
        <v>248</v>
      </c>
      <c r="B29" s="4" t="s">
        <v>205</v>
      </c>
      <c r="C29" s="31" t="str">
        <f aca="false">물고기!B18</f>
        <v>농어</v>
      </c>
      <c r="D29" s="31" t="str">
        <f aca="false">물고기!C18</f>
        <v>릴낚시</v>
      </c>
      <c r="E29" s="32" t="n">
        <v>5</v>
      </c>
      <c r="F29" s="29" t="n">
        <f aca="false">E29/SUMIF($A$14:$A$44,A29,$E$14:$E$44)</f>
        <v>0.050251256281407</v>
      </c>
      <c r="G29" s="20" t="n">
        <f aca="false">F29*H29</f>
        <v>27.3098283915458</v>
      </c>
      <c r="H29" s="5" t="n">
        <f aca="false">물고기!L18</f>
        <v>543.465584991761</v>
      </c>
      <c r="I29" s="31" t="str">
        <f aca="false">물고기!O18</f>
        <v>영웅</v>
      </c>
      <c r="J29" s="28" t="n">
        <f aca="false">E29*(1+가정!$B$27)^(-물고기!T18)</f>
        <v>2.74348422496571</v>
      </c>
      <c r="K29" s="28" t="n">
        <f aca="false">E29*(1+가정!$B$27)^(물고기!T18)</f>
        <v>9.1125</v>
      </c>
      <c r="M29" s="20" t="n">
        <f aca="false">J29/SUMIF($A$14:$A$44,A29,$J$14:$J$44)*H29</f>
        <v>17.8172888792016</v>
      </c>
      <c r="N29" s="20" t="n">
        <f aca="false">K29/SUMIF($A$14:$A$44,A29,$K$14:$K$44)*H29</f>
        <v>39.6086201649976</v>
      </c>
      <c r="O29" s="31" t="n">
        <f aca="false">물고기!E18</f>
        <v>40</v>
      </c>
      <c r="P29" s="31" t="n">
        <f aca="false">물고기!F18</f>
        <v>100</v>
      </c>
      <c r="Q29" s="5" t="n">
        <f aca="false">물고기!G18</f>
        <v>650</v>
      </c>
      <c r="R29" s="33" t="n">
        <f aca="false">물고기!I18</f>
        <v>70</v>
      </c>
      <c r="S29" s="31" t="n">
        <f aca="false">물고기!T18</f>
        <v>2</v>
      </c>
    </row>
    <row r="30" customFormat="false" ht="15" hidden="false" customHeight="false" outlineLevel="0" collapsed="false">
      <c r="A30" s="4" t="s">
        <v>248</v>
      </c>
      <c r="B30" s="4" t="s">
        <v>207</v>
      </c>
      <c r="C30" s="31" t="str">
        <f aca="false">물고기!B19</f>
        <v>벵에돔</v>
      </c>
      <c r="D30" s="31" t="str">
        <f aca="false">물고기!C19</f>
        <v>찌낚시</v>
      </c>
      <c r="E30" s="32" t="n">
        <v>3.5</v>
      </c>
      <c r="F30" s="29" t="n">
        <f aca="false">E30/SUMIF($A$14:$A$44,A30,$E$14:$E$44)</f>
        <v>0.0351758793969849</v>
      </c>
      <c r="G30" s="20" t="n">
        <f aca="false">F30*H30</f>
        <v>16.4007879069259</v>
      </c>
      <c r="H30" s="5" t="n">
        <f aca="false">물고기!L19</f>
        <v>466.250970496894</v>
      </c>
      <c r="I30" s="31" t="str">
        <f aca="false">물고기!O19</f>
        <v>영웅</v>
      </c>
      <c r="J30" s="28" t="n">
        <f aca="false">E30*(1+가정!$B$27)^(-물고기!T19)</f>
        <v>1.92043895747599</v>
      </c>
      <c r="K30" s="28" t="n">
        <f aca="false">E30*(1+가정!$B$27)^(물고기!T19)</f>
        <v>6.37875</v>
      </c>
      <c r="M30" s="20" t="n">
        <f aca="false">J30/SUMIF($A$14:$A$44,A30,$J$14:$J$44)*H30</f>
        <v>10.7000883269804</v>
      </c>
      <c r="N30" s="20" t="n">
        <f aca="false">K30/SUMIF($A$14:$A$44,A30,$K$14:$K$44)*H30</f>
        <v>23.7867689719066</v>
      </c>
      <c r="O30" s="31" t="n">
        <f aca="false">물고기!E19</f>
        <v>25</v>
      </c>
      <c r="P30" s="31" t="n">
        <f aca="false">물고기!F19</f>
        <v>55</v>
      </c>
      <c r="Q30" s="5" t="n">
        <f aca="false">물고기!G19</f>
        <v>550</v>
      </c>
      <c r="R30" s="33" t="n">
        <f aca="false">물고기!I19</f>
        <v>40</v>
      </c>
      <c r="S30" s="31" t="n">
        <f aca="false">물고기!T19</f>
        <v>2</v>
      </c>
    </row>
    <row r="31" customFormat="false" ht="15" hidden="false" customHeight="false" outlineLevel="0" collapsed="false">
      <c r="A31" s="4" t="s">
        <v>248</v>
      </c>
      <c r="B31" s="4" t="s">
        <v>209</v>
      </c>
      <c r="C31" s="31" t="str">
        <f aca="false">물고기!B20</f>
        <v>돌돔</v>
      </c>
      <c r="D31" s="31" t="str">
        <f aca="false">물고기!C20</f>
        <v>찌낚시</v>
      </c>
      <c r="E31" s="32" t="n">
        <v>1</v>
      </c>
      <c r="F31" s="29" t="n">
        <f aca="false">E31/SUMIF($A$14:$A$44,A31,$E$14:$E$44)</f>
        <v>0.0100502512562814</v>
      </c>
      <c r="G31" s="20" t="n">
        <f aca="false">F31*H31</f>
        <v>13.5394987359156</v>
      </c>
      <c r="H31" s="5" t="n">
        <f aca="false">물고기!L20</f>
        <v>1347.1801242236</v>
      </c>
      <c r="I31" s="31" t="str">
        <f aca="false">물고기!O20</f>
        <v>전설</v>
      </c>
      <c r="J31" s="28" t="n">
        <f aca="false">E31*(1+가정!$B$27)^(-물고기!T20)</f>
        <v>0.406442107402327</v>
      </c>
      <c r="K31" s="28" t="n">
        <f aca="false">E31*(1+가정!$B$27)^(물고기!T20)</f>
        <v>2.460375</v>
      </c>
      <c r="M31" s="20" t="n">
        <f aca="false">J31/SUMIF($A$14:$A$44,A31,$J$14:$J$44)*H31</f>
        <v>6.54321917447758</v>
      </c>
      <c r="N31" s="20" t="n">
        <f aca="false">K31/SUMIF($A$14:$A$44,A31,$K$14:$K$44)*H31</f>
        <v>26.5098393957261</v>
      </c>
      <c r="O31" s="31" t="n">
        <f aca="false">물고기!E20</f>
        <v>30</v>
      </c>
      <c r="P31" s="31" t="n">
        <f aca="false">물고기!F20</f>
        <v>70</v>
      </c>
      <c r="Q31" s="5" t="n">
        <f aca="false">물고기!G20</f>
        <v>1600</v>
      </c>
      <c r="R31" s="33" t="n">
        <f aca="false">물고기!I20</f>
        <v>50</v>
      </c>
      <c r="S31" s="31" t="n">
        <f aca="false">물고기!T20</f>
        <v>3</v>
      </c>
    </row>
    <row r="32" customFormat="false" ht="15" hidden="false" customHeight="false" outlineLevel="0" collapsed="false">
      <c r="A32" s="4" t="s">
        <v>250</v>
      </c>
      <c r="B32" s="4" t="s">
        <v>211</v>
      </c>
      <c r="C32" s="31" t="str">
        <f aca="false">물고기!B21</f>
        <v>갈치</v>
      </c>
      <c r="D32" s="31" t="str">
        <f aca="false">물고기!C21</f>
        <v>릴낚시</v>
      </c>
      <c r="E32" s="32" t="n">
        <v>30</v>
      </c>
      <c r="F32" s="29" t="n">
        <f aca="false">E32/SUMIF($A$14:$A$44,A32,$E$14:$E$44)</f>
        <v>0.315789473684211</v>
      </c>
      <c r="G32" s="20" t="n">
        <f aca="false">F32*H32</f>
        <v>47.5257353677005</v>
      </c>
      <c r="H32" s="5" t="n">
        <f aca="false">물고기!L21</f>
        <v>150.498161997718</v>
      </c>
      <c r="I32" s="31" t="str">
        <f aca="false">물고기!O21</f>
        <v>희귀</v>
      </c>
      <c r="J32" s="28" t="n">
        <f aca="false">E32*(1+가정!$B$27)^(-물고기!T21)</f>
        <v>22.2222222222222</v>
      </c>
      <c r="K32" s="28" t="n">
        <f aca="false">E32*(1+가정!$B$27)^(물고기!T21)</f>
        <v>40.5</v>
      </c>
      <c r="M32" s="20" t="n">
        <f aca="false">J32/SUMIF($A$14:$A$44,A32,$J$14:$J$44)*H32</f>
        <v>64.5085762139014</v>
      </c>
      <c r="N32" s="20" t="n">
        <f aca="false">K32/SUMIF($A$14:$A$44,A32,$K$14:$K$44)*H32</f>
        <v>32.6228464589079</v>
      </c>
      <c r="O32" s="31" t="n">
        <f aca="false">물고기!E21</f>
        <v>60</v>
      </c>
      <c r="P32" s="31" t="n">
        <f aca="false">물고기!F21</f>
        <v>150</v>
      </c>
      <c r="Q32" s="5" t="n">
        <f aca="false">물고기!G21</f>
        <v>180</v>
      </c>
      <c r="R32" s="33" t="n">
        <f aca="false">물고기!I21</f>
        <v>105</v>
      </c>
      <c r="S32" s="31" t="n">
        <f aca="false">물고기!T21</f>
        <v>1</v>
      </c>
    </row>
    <row r="33" customFormat="false" ht="15" hidden="false" customHeight="false" outlineLevel="0" collapsed="false">
      <c r="A33" s="4" t="s">
        <v>250</v>
      </c>
      <c r="B33" s="4" t="s">
        <v>213</v>
      </c>
      <c r="C33" s="31" t="str">
        <f aca="false">물고기!B22</f>
        <v>광어</v>
      </c>
      <c r="D33" s="31" t="str">
        <f aca="false">물고기!C22</f>
        <v>릴낚시</v>
      </c>
      <c r="E33" s="32" t="n">
        <v>24</v>
      </c>
      <c r="F33" s="29" t="n">
        <f aca="false">E33/SUMIF($A$14:$A$44,A33,$E$14:$E$44)</f>
        <v>0.252631578947368</v>
      </c>
      <c r="G33" s="20" t="n">
        <f aca="false">F33*H33</f>
        <v>94.806700228833</v>
      </c>
      <c r="H33" s="5" t="n">
        <f aca="false">물고기!L22</f>
        <v>375.27652173913</v>
      </c>
      <c r="I33" s="31" t="str">
        <f aca="false">물고기!O22</f>
        <v>영웅</v>
      </c>
      <c r="J33" s="28" t="n">
        <f aca="false">E33*(1+가정!$B$27)^(-물고기!T22)</f>
        <v>13.1687242798354</v>
      </c>
      <c r="K33" s="28" t="n">
        <f aca="false">E33*(1+가정!$B$27)^(물고기!T22)</f>
        <v>43.74</v>
      </c>
      <c r="M33" s="20" t="n">
        <f aca="false">J33/SUMIF($A$14:$A$44,A33,$J$14:$J$44)*H33</f>
        <v>95.3221597454697</v>
      </c>
      <c r="N33" s="20" t="n">
        <f aca="false">K33/SUMIF($A$14:$A$44,A33,$K$14:$K$44)*H33</f>
        <v>87.854863080623</v>
      </c>
      <c r="O33" s="31" t="n">
        <f aca="false">물고기!E22</f>
        <v>35</v>
      </c>
      <c r="P33" s="31" t="n">
        <f aca="false">물고기!F22</f>
        <v>90</v>
      </c>
      <c r="Q33" s="5" t="n">
        <f aca="false">물고기!G22</f>
        <v>450</v>
      </c>
      <c r="R33" s="33" t="n">
        <f aca="false">물고기!I22</f>
        <v>62.5</v>
      </c>
      <c r="S33" s="31" t="n">
        <f aca="false">물고기!T22</f>
        <v>2</v>
      </c>
    </row>
    <row r="34" customFormat="false" ht="15" hidden="false" customHeight="false" outlineLevel="0" collapsed="false">
      <c r="A34" s="4" t="s">
        <v>250</v>
      </c>
      <c r="B34" s="4" t="s">
        <v>215</v>
      </c>
      <c r="C34" s="31" t="str">
        <f aca="false">물고기!B23</f>
        <v>참돔</v>
      </c>
      <c r="D34" s="31" t="str">
        <f aca="false">물고기!C23</f>
        <v>릴낚시</v>
      </c>
      <c r="E34" s="32" t="n">
        <v>18</v>
      </c>
      <c r="F34" s="29" t="n">
        <f aca="false">E34/SUMIF($A$14:$A$44,A34,$E$14:$E$44)</f>
        <v>0.189473684210526</v>
      </c>
      <c r="G34" s="20" t="n">
        <f aca="false">F34*H34</f>
        <v>140.604772801569</v>
      </c>
      <c r="H34" s="5" t="n">
        <f aca="false">물고기!L23</f>
        <v>742.080745341615</v>
      </c>
      <c r="I34" s="31" t="str">
        <f aca="false">물고기!O23</f>
        <v>영웅</v>
      </c>
      <c r="J34" s="28" t="n">
        <f aca="false">E34*(1+가정!$B$27)^(-물고기!T23)</f>
        <v>7.31595793324188</v>
      </c>
      <c r="K34" s="28" t="n">
        <f aca="false">E34*(1+가정!$B$27)^(물고기!T23)</f>
        <v>44.28675</v>
      </c>
      <c r="M34" s="20" t="n">
        <f aca="false">J34/SUMIF($A$14:$A$44,A34,$J$14:$J$44)*H34</f>
        <v>104.717951302916</v>
      </c>
      <c r="N34" s="20" t="n">
        <f aca="false">K34/SUMIF($A$14:$A$44,A34,$K$14:$K$44)*H34</f>
        <v>175.897880579644</v>
      </c>
      <c r="O34" s="31" t="n">
        <f aca="false">물고기!E23</f>
        <v>30</v>
      </c>
      <c r="P34" s="31" t="n">
        <f aca="false">물고기!F23</f>
        <v>90</v>
      </c>
      <c r="Q34" s="5" t="n">
        <f aca="false">물고기!G23</f>
        <v>900</v>
      </c>
      <c r="R34" s="33" t="n">
        <f aca="false">물고기!I23</f>
        <v>60</v>
      </c>
      <c r="S34" s="31" t="n">
        <f aca="false">물고기!T23</f>
        <v>3</v>
      </c>
    </row>
    <row r="35" customFormat="false" ht="15" hidden="false" customHeight="false" outlineLevel="0" collapsed="false">
      <c r="A35" s="4" t="s">
        <v>250</v>
      </c>
      <c r="B35" s="4" t="s">
        <v>217</v>
      </c>
      <c r="C35" s="31" t="str">
        <f aca="false">물고기!B24</f>
        <v>방어</v>
      </c>
      <c r="D35" s="31" t="str">
        <f aca="false">물고기!C24</f>
        <v>릴낚시</v>
      </c>
      <c r="E35" s="32" t="n">
        <v>13</v>
      </c>
      <c r="F35" s="29" t="n">
        <f aca="false">E35/SUMIF($A$14:$A$44,A35,$E$14:$E$44)</f>
        <v>0.136842105263158</v>
      </c>
      <c r="G35" s="20" t="n">
        <f aca="false">F35*H35</f>
        <v>162.407036613272</v>
      </c>
      <c r="H35" s="5" t="n">
        <f aca="false">물고기!L24</f>
        <v>1186.82065217391</v>
      </c>
      <c r="I35" s="31" t="str">
        <f aca="false">물고기!O24</f>
        <v>전설</v>
      </c>
      <c r="J35" s="28" t="n">
        <f aca="false">E35*(1+가정!$B$27)^(-물고기!T24)</f>
        <v>5.28374739623025</v>
      </c>
      <c r="K35" s="28" t="n">
        <f aca="false">E35*(1+가정!$B$27)^(물고기!T24)</f>
        <v>31.984875</v>
      </c>
      <c r="M35" s="20" t="n">
        <f aca="false">J35/SUMIF($A$14:$A$44,A35,$J$14:$J$44)*H35</f>
        <v>120.955582178713</v>
      </c>
      <c r="N35" s="20" t="n">
        <f aca="false">K35/SUMIF($A$14:$A$44,A35,$K$14:$K$44)*H35</f>
        <v>203.172715707247</v>
      </c>
      <c r="O35" s="31" t="n">
        <f aca="false">물고기!E24</f>
        <v>50</v>
      </c>
      <c r="P35" s="31" t="n">
        <f aca="false">물고기!F24</f>
        <v>110</v>
      </c>
      <c r="Q35" s="5" t="n">
        <f aca="false">물고기!G24</f>
        <v>1400</v>
      </c>
      <c r="R35" s="33" t="n">
        <f aca="false">물고기!I24</f>
        <v>80</v>
      </c>
      <c r="S35" s="31" t="n">
        <f aca="false">물고기!T24</f>
        <v>3</v>
      </c>
    </row>
    <row r="36" customFormat="false" ht="15" hidden="false" customHeight="false" outlineLevel="0" collapsed="false">
      <c r="A36" s="4" t="s">
        <v>250</v>
      </c>
      <c r="B36" s="4" t="s">
        <v>219</v>
      </c>
      <c r="C36" s="31" t="str">
        <f aca="false">물고기!B25</f>
        <v>부시리</v>
      </c>
      <c r="D36" s="31" t="str">
        <f aca="false">물고기!C25</f>
        <v>릴낚시</v>
      </c>
      <c r="E36" s="32" t="n">
        <v>8</v>
      </c>
      <c r="F36" s="29" t="n">
        <f aca="false">E36/SUMIF($A$14:$A$44,A36,$E$14:$E$44)</f>
        <v>0.0842105263157895</v>
      </c>
      <c r="G36" s="20" t="n">
        <f aca="false">F36*H36</f>
        <v>155.98927754168</v>
      </c>
      <c r="H36" s="5" t="n">
        <f aca="false">물고기!L25</f>
        <v>1852.37267080745</v>
      </c>
      <c r="I36" s="31" t="str">
        <f aca="false">물고기!O25</f>
        <v>전설</v>
      </c>
      <c r="J36" s="28" t="n">
        <f aca="false">E36*(1+가정!$B$27)^(-물고기!T25)</f>
        <v>3.25153685921861</v>
      </c>
      <c r="K36" s="28" t="n">
        <f aca="false">E36*(1+가정!$B$27)^(물고기!T25)</f>
        <v>19.683</v>
      </c>
      <c r="M36" s="20" t="n">
        <f aca="false">J36/SUMIF($A$14:$A$44,A36,$J$14:$J$44)*H36</f>
        <v>116.175839865974</v>
      </c>
      <c r="N36" s="20" t="n">
        <f aca="false">K36/SUMIF($A$14:$A$44,A36,$K$14:$K$44)*H36</f>
        <v>195.144039323999</v>
      </c>
      <c r="O36" s="31" t="n">
        <f aca="false">물고기!E25</f>
        <v>60</v>
      </c>
      <c r="P36" s="31" t="n">
        <f aca="false">물고기!F25</f>
        <v>140</v>
      </c>
      <c r="Q36" s="5" t="n">
        <f aca="false">물고기!G25</f>
        <v>2200</v>
      </c>
      <c r="R36" s="33" t="n">
        <f aca="false">물고기!I25</f>
        <v>100</v>
      </c>
      <c r="S36" s="31" t="n">
        <f aca="false">물고기!T25</f>
        <v>3</v>
      </c>
    </row>
    <row r="37" customFormat="false" ht="15" hidden="false" customHeight="false" outlineLevel="0" collapsed="false">
      <c r="A37" s="4" t="s">
        <v>250</v>
      </c>
      <c r="B37" s="4" t="s">
        <v>221</v>
      </c>
      <c r="C37" s="31" t="str">
        <f aca="false">물고기!B26</f>
        <v>참다랑어</v>
      </c>
      <c r="D37" s="31" t="str">
        <f aca="false">물고기!C26</f>
        <v>릴낚시</v>
      </c>
      <c r="E37" s="32" t="n">
        <v>2</v>
      </c>
      <c r="F37" s="29" t="n">
        <f aca="false">E37/SUMIF($A$14:$A$44,A37,$E$14:$E$44)</f>
        <v>0.0210526315789474</v>
      </c>
      <c r="G37" s="20" t="n">
        <f aca="false">F37*H37</f>
        <v>156.93575743526</v>
      </c>
      <c r="H37" s="5" t="n">
        <f aca="false">물고기!L26</f>
        <v>7454.44847817484</v>
      </c>
      <c r="I37" s="31" t="str">
        <f aca="false">물고기!O26</f>
        <v>전설</v>
      </c>
      <c r="J37" s="28" t="n">
        <f aca="false">E37*(1+가정!$B$27)^(-물고기!T26)</f>
        <v>0.602136455410855</v>
      </c>
      <c r="K37" s="28" t="n">
        <f aca="false">E37*(1+가정!$B$27)^(물고기!T26)</f>
        <v>6.6430125</v>
      </c>
      <c r="M37" s="20" t="n">
        <f aca="false">J37/SUMIF($A$14:$A$44,A37,$J$14:$J$44)*H37</f>
        <v>86.5783317853365</v>
      </c>
      <c r="N37" s="20" t="n">
        <f aca="false">K37/SUMIF($A$14:$A$44,A37,$K$14:$K$44)*H37</f>
        <v>265.042927558541</v>
      </c>
      <c r="O37" s="31" t="n">
        <f aca="false">물고기!E26</f>
        <v>100</v>
      </c>
      <c r="P37" s="31" t="n">
        <f aca="false">물고기!F26</f>
        <v>280</v>
      </c>
      <c r="Q37" s="5" t="n">
        <f aca="false">물고기!G26</f>
        <v>9000</v>
      </c>
      <c r="R37" s="33" t="n">
        <f aca="false">물고기!I26</f>
        <v>190</v>
      </c>
      <c r="S37" s="31" t="n">
        <f aca="false">물고기!T26</f>
        <v>4</v>
      </c>
    </row>
    <row r="38" customFormat="false" ht="15" hidden="false" customHeight="false" outlineLevel="0" collapsed="false">
      <c r="A38" s="4" t="s">
        <v>253</v>
      </c>
      <c r="B38" s="4" t="s">
        <v>215</v>
      </c>
      <c r="C38" s="31" t="str">
        <f aca="false">물고기!B23</f>
        <v>참돔</v>
      </c>
      <c r="D38" s="31" t="str">
        <f aca="false">물고기!C23</f>
        <v>릴낚시</v>
      </c>
      <c r="E38" s="32" t="n">
        <v>20</v>
      </c>
      <c r="F38" s="29" t="n">
        <f aca="false">E38/SUMIF($A$14:$A$44,A38,$E$14:$E$44)</f>
        <v>0.223463687150838</v>
      </c>
      <c r="G38" s="20" t="n">
        <f aca="false">F38*H38</f>
        <v>165.828099517679</v>
      </c>
      <c r="H38" s="5" t="n">
        <f aca="false">물고기!L23</f>
        <v>742.080745341615</v>
      </c>
      <c r="I38" s="31" t="str">
        <f aca="false">물고기!O23</f>
        <v>영웅</v>
      </c>
      <c r="J38" s="28" t="n">
        <f aca="false">E38*(1+가정!$B$27)^(-물고기!T23)</f>
        <v>8.12884214804654</v>
      </c>
      <c r="K38" s="28" t="n">
        <f aca="false">E38*(1+가정!$B$27)^(물고기!T23)</f>
        <v>49.2075</v>
      </c>
      <c r="M38" s="20" t="n">
        <f aca="false">J38/SUMIF($A$14:$A$44,A38,$J$14:$J$44)*H38</f>
        <v>177.389819603573</v>
      </c>
      <c r="N38" s="20" t="n">
        <f aca="false">K38/SUMIF($A$14:$A$44,A38,$K$14:$K$44)*H38</f>
        <v>152.41709788788</v>
      </c>
      <c r="O38" s="31" t="n">
        <f aca="false">물고기!E23</f>
        <v>30</v>
      </c>
      <c r="P38" s="31" t="n">
        <f aca="false">물고기!F23</f>
        <v>90</v>
      </c>
      <c r="Q38" s="5" t="n">
        <f aca="false">물고기!G23</f>
        <v>900</v>
      </c>
      <c r="R38" s="33" t="n">
        <f aca="false">물고기!I23</f>
        <v>60</v>
      </c>
      <c r="S38" s="31" t="n">
        <f aca="false">물고기!T23</f>
        <v>3</v>
      </c>
    </row>
    <row r="39" customFormat="false" ht="15" hidden="false" customHeight="false" outlineLevel="0" collapsed="false">
      <c r="A39" s="4" t="s">
        <v>253</v>
      </c>
      <c r="B39" s="4" t="s">
        <v>217</v>
      </c>
      <c r="C39" s="31" t="str">
        <f aca="false">물고기!B24</f>
        <v>방어</v>
      </c>
      <c r="D39" s="31" t="str">
        <f aca="false">물고기!C24</f>
        <v>릴낚시</v>
      </c>
      <c r="E39" s="32" t="n">
        <v>15</v>
      </c>
      <c r="F39" s="29" t="n">
        <f aca="false">E39/SUMIF($A$14:$A$44,A39,$E$14:$E$44)</f>
        <v>0.167597765363128</v>
      </c>
      <c r="G39" s="20" t="n">
        <f aca="false">F39*H39</f>
        <v>198.908489191159</v>
      </c>
      <c r="H39" s="5" t="n">
        <f aca="false">물고기!L24</f>
        <v>1186.82065217391</v>
      </c>
      <c r="I39" s="31" t="str">
        <f aca="false">물고기!O24</f>
        <v>전설</v>
      </c>
      <c r="J39" s="28" t="n">
        <f aca="false">E39*(1+가정!$B$27)^(-물고기!T24)</f>
        <v>6.0966316110349</v>
      </c>
      <c r="K39" s="28" t="n">
        <f aca="false">E39*(1+가정!$B$27)^(물고기!T24)</f>
        <v>36.905625</v>
      </c>
      <c r="M39" s="20" t="n">
        <f aca="false">J39/SUMIF($A$14:$A$44,A39,$J$14:$J$44)*H39</f>
        <v>212.776610947514</v>
      </c>
      <c r="N39" s="20" t="n">
        <f aca="false">K39/SUMIF($A$14:$A$44,A39,$K$14:$K$44)*H39</f>
        <v>182.822180052464</v>
      </c>
      <c r="O39" s="31" t="n">
        <f aca="false">물고기!E24</f>
        <v>50</v>
      </c>
      <c r="P39" s="31" t="n">
        <f aca="false">물고기!F24</f>
        <v>110</v>
      </c>
      <c r="Q39" s="5" t="n">
        <f aca="false">물고기!G24</f>
        <v>1400</v>
      </c>
      <c r="R39" s="33" t="n">
        <f aca="false">물고기!I24</f>
        <v>80</v>
      </c>
      <c r="S39" s="31" t="n">
        <f aca="false">물고기!T24</f>
        <v>3</v>
      </c>
    </row>
    <row r="40" customFormat="false" ht="15" hidden="false" customHeight="false" outlineLevel="0" collapsed="false">
      <c r="A40" s="4" t="s">
        <v>253</v>
      </c>
      <c r="B40" s="4" t="s">
        <v>219</v>
      </c>
      <c r="C40" s="31" t="str">
        <f aca="false">물고기!B25</f>
        <v>부시리</v>
      </c>
      <c r="D40" s="31" t="str">
        <f aca="false">물고기!C25</f>
        <v>릴낚시</v>
      </c>
      <c r="E40" s="32" t="n">
        <v>12</v>
      </c>
      <c r="F40" s="29" t="n">
        <f aca="false">E40/SUMIF($A$14:$A$44,A40,$E$14:$E$44)</f>
        <v>0.134078212290503</v>
      </c>
      <c r="G40" s="20" t="n">
        <f aca="false">F40*H40</f>
        <v>248.362816197647</v>
      </c>
      <c r="H40" s="5" t="n">
        <f aca="false">물고기!L25</f>
        <v>1852.37267080745</v>
      </c>
      <c r="I40" s="31" t="str">
        <f aca="false">물고기!O25</f>
        <v>전설</v>
      </c>
      <c r="J40" s="28" t="n">
        <f aca="false">E40*(1+가정!$B$27)^(-물고기!T25)</f>
        <v>4.87730528882792</v>
      </c>
      <c r="K40" s="28" t="n">
        <f aca="false">E40*(1+가정!$B$27)^(물고기!T25)</f>
        <v>29.5245</v>
      </c>
      <c r="M40" s="20" t="n">
        <f aca="false">J40/SUMIF($A$14:$A$44,A40,$J$14:$J$44)*H40</f>
        <v>265.678948801069</v>
      </c>
      <c r="N40" s="20" t="n">
        <f aca="false">K40/SUMIF($A$14:$A$44,A40,$K$14:$K$44)*H40</f>
        <v>228.27699152441</v>
      </c>
      <c r="O40" s="31" t="n">
        <f aca="false">물고기!E25</f>
        <v>60</v>
      </c>
      <c r="P40" s="31" t="n">
        <f aca="false">물고기!F25</f>
        <v>140</v>
      </c>
      <c r="Q40" s="5" t="n">
        <f aca="false">물고기!G25</f>
        <v>2200</v>
      </c>
      <c r="R40" s="33" t="n">
        <f aca="false">물고기!I25</f>
        <v>100</v>
      </c>
      <c r="S40" s="31" t="n">
        <f aca="false">물고기!T25</f>
        <v>3</v>
      </c>
    </row>
    <row r="41" customFormat="false" ht="15" hidden="false" customHeight="false" outlineLevel="0" collapsed="false">
      <c r="A41" s="4" t="s">
        <v>253</v>
      </c>
      <c r="B41" s="4" t="s">
        <v>226</v>
      </c>
      <c r="C41" s="31" t="str">
        <f aca="false">물고기!B28</f>
        <v>해운대 은갈치</v>
      </c>
      <c r="D41" s="31" t="str">
        <f aca="false">물고기!C28</f>
        <v>릴낚시</v>
      </c>
      <c r="E41" s="32" t="n">
        <v>20</v>
      </c>
      <c r="F41" s="29" t="n">
        <f aca="false">E41/SUMIF($A$14:$A$44,A41,$E$14:$E$44)</f>
        <v>0.223463687150838</v>
      </c>
      <c r="G41" s="20" t="n">
        <f aca="false">F41*H41</f>
        <v>345.327735174711</v>
      </c>
      <c r="H41" s="5" t="n">
        <f aca="false">물고기!L28</f>
        <v>1545.34161490683</v>
      </c>
      <c r="I41" s="31" t="str">
        <f aca="false">물고기!O28</f>
        <v>전설</v>
      </c>
      <c r="J41" s="28" t="n">
        <f aca="false">E41*(1+가정!$B$27)^(-물고기!T28)</f>
        <v>8.12884214804654</v>
      </c>
      <c r="K41" s="28" t="n">
        <f aca="false">E41*(1+가정!$B$27)^(물고기!T28)</f>
        <v>49.2075</v>
      </c>
      <c r="M41" s="20" t="n">
        <f aca="false">J41/SUMIF($A$14:$A$44,A41,$J$14:$J$44)*H41</f>
        <v>369.404370097251</v>
      </c>
      <c r="N41" s="20" t="n">
        <f aca="false">K41/SUMIF($A$14:$A$44,A41,$K$14:$K$44)*H41</f>
        <v>317.400074948772</v>
      </c>
      <c r="O41" s="31" t="n">
        <f aca="false">물고기!E28</f>
        <v>90</v>
      </c>
      <c r="P41" s="31" t="n">
        <f aca="false">물고기!F28</f>
        <v>180</v>
      </c>
      <c r="Q41" s="5" t="n">
        <f aca="false">물고기!G28</f>
        <v>1800</v>
      </c>
      <c r="R41" s="33" t="n">
        <f aca="false">물고기!I28</f>
        <v>135</v>
      </c>
      <c r="S41" s="31" t="n">
        <f aca="false">물고기!T28</f>
        <v>3</v>
      </c>
    </row>
    <row r="42" customFormat="false" ht="15" hidden="false" customHeight="false" outlineLevel="0" collapsed="false">
      <c r="A42" s="4" t="s">
        <v>253</v>
      </c>
      <c r="B42" s="4" t="s">
        <v>223</v>
      </c>
      <c r="C42" s="31" t="str">
        <f aca="false">물고기!B27</f>
        <v>황금 고등어</v>
      </c>
      <c r="D42" s="31" t="str">
        <f aca="false">물고기!C27</f>
        <v>릴낚시</v>
      </c>
      <c r="E42" s="32" t="n">
        <v>15</v>
      </c>
      <c r="F42" s="29" t="n">
        <f aca="false">E42/SUMIF($A$14:$A$44,A42,$E$14:$E$44)</f>
        <v>0.167597765363128</v>
      </c>
      <c r="G42" s="20" t="n">
        <f aca="false">F42*H42</f>
        <v>364.559088577065</v>
      </c>
      <c r="H42" s="5" t="n">
        <f aca="false">물고기!L27</f>
        <v>2175.20256184315</v>
      </c>
      <c r="I42" s="31" t="str">
        <f aca="false">물고기!O27</f>
        <v>전설</v>
      </c>
      <c r="J42" s="28" t="n">
        <f aca="false">E42*(1+가정!$B$27)^(-물고기!T27)</f>
        <v>4.51602341558141</v>
      </c>
      <c r="K42" s="28" t="n">
        <f aca="false">E42*(1+가정!$B$27)^(물고기!T27)</f>
        <v>49.82259375</v>
      </c>
      <c r="M42" s="20" t="n">
        <f aca="false">J42/SUMIF($A$14:$A$44,A42,$J$14:$J$44)*H42</f>
        <v>288.871522157125</v>
      </c>
      <c r="N42" s="20" t="n">
        <f aca="false">K42/SUMIF($A$14:$A$44,A42,$K$14:$K$44)*H42</f>
        <v>452.352779227973</v>
      </c>
      <c r="O42" s="31" t="n">
        <f aca="false">물고기!E27</f>
        <v>30</v>
      </c>
      <c r="P42" s="31" t="n">
        <f aca="false">물고기!F27</f>
        <v>55</v>
      </c>
      <c r="Q42" s="5" t="n">
        <f aca="false">물고기!G27</f>
        <v>2500</v>
      </c>
      <c r="R42" s="33" t="n">
        <f aca="false">물고기!I27</f>
        <v>42.5</v>
      </c>
      <c r="S42" s="31" t="n">
        <f aca="false">물고기!T27</f>
        <v>4</v>
      </c>
    </row>
    <row r="43" customFormat="false" ht="15" hidden="false" customHeight="false" outlineLevel="0" collapsed="false">
      <c r="A43" s="4" t="s">
        <v>253</v>
      </c>
      <c r="B43" s="4" t="s">
        <v>228</v>
      </c>
      <c r="C43" s="31" t="str">
        <f aca="false">물고기!B29</f>
        <v>태종대 다금바리</v>
      </c>
      <c r="D43" s="31" t="str">
        <f aca="false">물고기!C29</f>
        <v>찌낚시</v>
      </c>
      <c r="E43" s="32" t="n">
        <v>6</v>
      </c>
      <c r="F43" s="29" t="n">
        <f aca="false">E43/SUMIF($A$14:$A$44,A43,$E$14:$E$44)</f>
        <v>0.0670391061452514</v>
      </c>
      <c r="G43" s="20" t="n">
        <f aca="false">F43*H43</f>
        <v>337.666507257863</v>
      </c>
      <c r="H43" s="5" t="n">
        <f aca="false">물고기!L29</f>
        <v>5036.85873326313</v>
      </c>
      <c r="I43" s="31" t="str">
        <f aca="false">물고기!O29</f>
        <v>전설</v>
      </c>
      <c r="J43" s="28" t="n">
        <f aca="false">E43*(1+가정!$B$27)^(-물고기!T29)</f>
        <v>1.80640936623256</v>
      </c>
      <c r="K43" s="28" t="n">
        <f aca="false">E43*(1+가정!$B$27)^(물고기!T29)</f>
        <v>19.9290375</v>
      </c>
      <c r="M43" s="20" t="n">
        <f aca="false">J43/SUMIF($A$14:$A$44,A43,$J$14:$J$44)*H43</f>
        <v>267.562216906408</v>
      </c>
      <c r="N43" s="20" t="n">
        <f aca="false">K43/SUMIF($A$14:$A$44,A43,$K$14:$K$44)*H43</f>
        <v>418.98388435873</v>
      </c>
      <c r="O43" s="31" t="n">
        <f aca="false">물고기!E29</f>
        <v>50</v>
      </c>
      <c r="P43" s="31" t="n">
        <f aca="false">물고기!F29</f>
        <v>120</v>
      </c>
      <c r="Q43" s="5" t="n">
        <f aca="false">물고기!G29</f>
        <v>6000</v>
      </c>
      <c r="R43" s="33" t="n">
        <f aca="false">물고기!I29</f>
        <v>85</v>
      </c>
      <c r="S43" s="31" t="n">
        <f aca="false">물고기!T29</f>
        <v>4</v>
      </c>
    </row>
    <row r="44" customFormat="false" ht="15" hidden="false" customHeight="false" outlineLevel="0" collapsed="false">
      <c r="A44" s="4" t="s">
        <v>253</v>
      </c>
      <c r="B44" s="4" t="s">
        <v>230</v>
      </c>
      <c r="C44" s="31" t="str">
        <f aca="false">물고기!B30</f>
        <v>오륙도 돗돔</v>
      </c>
      <c r="D44" s="31" t="str">
        <f aca="false">물고기!C30</f>
        <v>릴낚시</v>
      </c>
      <c r="E44" s="32" t="n">
        <v>1.5</v>
      </c>
      <c r="F44" s="29" t="n">
        <f aca="false">E44/SUMIF($A$14:$A$44,A44,$E$14:$E$44)</f>
        <v>0.0167597765363129</v>
      </c>
      <c r="G44" s="20" t="n">
        <f aca="false">F44*H44</f>
        <v>284.154984558798</v>
      </c>
      <c r="H44" s="5" t="n">
        <f aca="false">물고기!L30</f>
        <v>16954.5807453416</v>
      </c>
      <c r="I44" s="31" t="str">
        <f aca="false">물고기!O30</f>
        <v>전설</v>
      </c>
      <c r="J44" s="28" t="n">
        <f aca="false">E44*(1+가정!$B$27)^(-물고기!T30)</f>
        <v>0.451602341558141</v>
      </c>
      <c r="K44" s="28" t="n">
        <f aca="false">E44*(1+가정!$B$27)^(물고기!T30)</f>
        <v>4.982259375</v>
      </c>
      <c r="M44" s="20" t="n">
        <f aca="false">J44/SUMIF($A$14:$A$44,A44,$J$14:$J$44)*H44</f>
        <v>225.160434865095</v>
      </c>
      <c r="N44" s="20" t="n">
        <f aca="false">K44/SUMIF($A$14:$A$44,A44,$K$14:$K$44)*H44</f>
        <v>352.585632958324</v>
      </c>
      <c r="O44" s="31" t="n">
        <f aca="false">물고기!E30</f>
        <v>100</v>
      </c>
      <c r="P44" s="31" t="n">
        <f aca="false">물고기!F30</f>
        <v>220</v>
      </c>
      <c r="Q44" s="5" t="n">
        <f aca="false">물고기!G30</f>
        <v>20000</v>
      </c>
      <c r="R44" s="33" t="n">
        <f aca="false">물고기!I30</f>
        <v>160</v>
      </c>
      <c r="S44" s="31" t="n">
        <f aca="false">물고기!T30</f>
        <v>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4" min="2" style="0" width="14"/>
    <col collapsed="false" customWidth="true" hidden="false" outlineLevel="0" max="5" min="5" style="0" width="9"/>
    <col collapsed="false" customWidth="true" hidden="false" outlineLevel="0" max="6" min="6" style="0" width="7"/>
    <col collapsed="false" customWidth="true" hidden="false" outlineLevel="0" max="7" min="7" style="0" width="10"/>
    <col collapsed="false" customWidth="true" hidden="false" outlineLevel="0" max="8" min="8" style="0" width="8"/>
    <col collapsed="false" customWidth="true" hidden="false" outlineLevel="0" max="9" min="9" style="0" width="7"/>
    <col collapsed="false" customWidth="true" hidden="false" outlineLevel="0" max="10" min="10" style="0" width="12"/>
    <col collapsed="false" customWidth="true" hidden="false" outlineLevel="0" max="13" min="11" style="0" width="13"/>
    <col collapsed="false" customWidth="true" hidden="false" outlineLevel="0" max="19" min="14" style="0" width="12"/>
  </cols>
  <sheetData>
    <row r="1" customFormat="false" ht="20.1" hidden="false" customHeight="false" outlineLevel="0" collapsed="false">
      <c r="A1" s="1" t="s">
        <v>265</v>
      </c>
    </row>
    <row r="2" customFormat="false" ht="15" hidden="false" customHeight="false" outlineLevel="0" collapsed="false">
      <c r="A2" s="2" t="s">
        <v>266</v>
      </c>
    </row>
    <row r="3" customFormat="false" ht="15" hidden="false" customHeight="false" outlineLevel="0" collapsed="false">
      <c r="A3" s="2" t="s">
        <v>267</v>
      </c>
    </row>
    <row r="5" customFormat="false" ht="31.5" hidden="false" customHeight="true" outlineLevel="0" collapsed="false">
      <c r="A5" s="3" t="s">
        <v>115</v>
      </c>
      <c r="B5" s="3" t="s">
        <v>116</v>
      </c>
      <c r="C5" s="3" t="s">
        <v>268</v>
      </c>
      <c r="D5" s="3" t="s">
        <v>118</v>
      </c>
      <c r="E5" s="3" t="s">
        <v>269</v>
      </c>
      <c r="F5" s="3" t="s">
        <v>270</v>
      </c>
      <c r="G5" s="3" t="s">
        <v>271</v>
      </c>
      <c r="H5" s="3" t="s">
        <v>272</v>
      </c>
      <c r="I5" s="3" t="s">
        <v>273</v>
      </c>
      <c r="J5" s="3" t="s">
        <v>274</v>
      </c>
      <c r="K5" s="3" t="s">
        <v>275</v>
      </c>
      <c r="L5" s="3" t="s">
        <v>276</v>
      </c>
      <c r="M5" s="3" t="s">
        <v>277</v>
      </c>
      <c r="N5" s="3" t="s">
        <v>278</v>
      </c>
      <c r="O5" s="3" t="s">
        <v>279</v>
      </c>
      <c r="P5" s="3" t="s">
        <v>280</v>
      </c>
      <c r="Q5" s="3" t="s">
        <v>281</v>
      </c>
      <c r="R5" s="3" t="s">
        <v>282</v>
      </c>
      <c r="S5" s="3" t="s">
        <v>283</v>
      </c>
    </row>
    <row r="6" customFormat="false" ht="15" hidden="false" customHeight="false" outlineLevel="0" collapsed="false">
      <c r="A6" s="14" t="n">
        <v>1</v>
      </c>
      <c r="B6" s="11" t="s">
        <v>284</v>
      </c>
      <c r="C6" s="12" t="n">
        <v>5000</v>
      </c>
      <c r="D6" s="20" t="n">
        <f aca="false">SUM($C$6:C6)</f>
        <v>5000</v>
      </c>
      <c r="E6" s="32" t="n">
        <v>-0.5</v>
      </c>
      <c r="F6" s="21" t="n">
        <v>0</v>
      </c>
      <c r="G6" s="28" t="n">
        <f aca="false">MAX(0.9,가정!$B$5-F6*가정!$B$6)</f>
        <v>1.8</v>
      </c>
      <c r="H6" s="9" t="n">
        <v>90</v>
      </c>
      <c r="I6" s="9" t="n">
        <v>4</v>
      </c>
      <c r="J6" s="27" t="n">
        <f aca="false">H6*I6/60</f>
        <v>6</v>
      </c>
      <c r="K6" s="20" t="n">
        <f aca="false">SUMPRODUCT((낚시터!$A$14:$A$44="강")*낚시터!$E$14:$E$44*(1+$F6*낚시터!$S$14:$S$44*가정!$B$7)*(1+가정!$B$27)^($E6*낚시터!$S$14:$S$44)*낚시터!$Q$14:$Q$44*(낚시터!$O$14:$O$44^2+2*낚시터!$O$14:$O$44*(낚시터!$P$14:$P$44-낚시터!$O$14:$O$44)/(1+$G6)+(낚시터!$P$14:$P$44-낚시터!$O$14:$O$44)^2/(1+2*$G6))/낚시터!$R$14:$R$44^2)/SUMPRODUCT((낚시터!$A$14:$A$44="강")*낚시터!$E$14:$E$44*(1+$F6*낚시터!$S$14:$S$44*가정!$B$7)*(1+가정!$B$27)^($E6*낚시터!$S$14:$S$44))</f>
        <v>40.1249414961122</v>
      </c>
      <c r="L6" s="20" t="n">
        <f aca="false">SUMPRODUCT((낚시터!$A$14:$A$44="방파제")*낚시터!$E$14:$E$44*(1+$F6*낚시터!$S$14:$S$44*가정!$B$7)*(1+가정!$B$27)^($E6*낚시터!$S$14:$S$44)*낚시터!$Q$14:$Q$44*(낚시터!$O$14:$O$44^2+2*낚시터!$O$14:$O$44*(낚시터!$P$14:$P$44-낚시터!$O$14:$O$44)/(1+$G6)+(낚시터!$P$14:$P$44-낚시터!$O$14:$O$44)^2/(1+2*$G6))/낚시터!$R$14:$R$44^2)/SUMPRODUCT((낚시터!$A$14:$A$44="방파제")*낚시터!$E$14:$E$44*(1+$F6*낚시터!$S$14:$S$44*가정!$B$7)*(1+가정!$B$27)^($E6*낚시터!$S$14:$S$44))</f>
        <v>103.912533263905</v>
      </c>
      <c r="M6" s="20" t="n">
        <f aca="false">SUMPRODUCT((낚시터!$A$14:$A$44="배낚시")*낚시터!$E$14:$E$44*(1+$F6*낚시터!$S$14:$S$44*가정!$B$7)*(1+가정!$B$27)^($E6*낚시터!$S$14:$S$44)*낚시터!$Q$14:$Q$44*(낚시터!$O$14:$O$44^2+2*낚시터!$O$14:$O$44*(낚시터!$P$14:$P$44-낚시터!$O$14:$O$44)/(1+$G6)+(낚시터!$P$14:$P$44-낚시터!$O$14:$O$44)^2/(1+2*$G6))/낚시터!$R$14:$R$44^2)/SUMPRODUCT((낚시터!$A$14:$A$44="배낚시")*낚시터!$E$14:$E$44*(1+$F6*낚시터!$S$14:$S$44*가정!$B$7)*(1+가정!$B$27)^($E6*낚시터!$S$14:$S$44))</f>
        <v>669.037825681728</v>
      </c>
      <c r="N6" s="20" t="n">
        <f aca="false">K6/$H6*60</f>
        <v>26.7499609974081</v>
      </c>
      <c r="O6" s="20" t="n">
        <f aca="false">L6/$H6*60</f>
        <v>69.2750221759369</v>
      </c>
      <c r="P6" s="20" t="n">
        <f aca="false">M6/$H6*60</f>
        <v>446.025217121152</v>
      </c>
      <c r="Q6" s="24" t="n">
        <f aca="false">C6/N6</f>
        <v>186.916160381859</v>
      </c>
      <c r="R6" s="24" t="n">
        <f aca="false">C6/O6</f>
        <v>72.1760866030698</v>
      </c>
      <c r="S6" s="24" t="n">
        <f aca="false">C6/P6</f>
        <v>11.2101285041062</v>
      </c>
    </row>
    <row r="7" customFormat="false" ht="15" hidden="false" customHeight="false" outlineLevel="0" collapsed="false">
      <c r="A7" s="14" t="n">
        <v>2</v>
      </c>
      <c r="B7" s="11" t="s">
        <v>285</v>
      </c>
      <c r="C7" s="12" t="n">
        <v>20000</v>
      </c>
      <c r="D7" s="20" t="n">
        <f aca="false">SUM($C$6:C7)</f>
        <v>25000</v>
      </c>
      <c r="E7" s="32" t="n">
        <v>0</v>
      </c>
      <c r="F7" s="21" t="n">
        <v>0.1</v>
      </c>
      <c r="G7" s="28" t="n">
        <f aca="false">MAX(0.9,가정!$B$5-F7*가정!$B$6)</f>
        <v>1.74</v>
      </c>
      <c r="H7" s="9" t="n">
        <v>75</v>
      </c>
      <c r="I7" s="9" t="n">
        <v>6</v>
      </c>
      <c r="J7" s="27" t="n">
        <f aca="false">H7*I7/60</f>
        <v>7.5</v>
      </c>
      <c r="K7" s="20" t="n">
        <f aca="false">SUMPRODUCT((낚시터!$A$14:$A$44="강")*낚시터!$E$14:$E$44*(1+$F7*낚시터!$S$14:$S$44*가정!$B$7)*(1+가정!$B$27)^($E7*낚시터!$S$14:$S$44)*낚시터!$Q$14:$Q$44*(낚시터!$O$14:$O$44^2+2*낚시터!$O$14:$O$44*(낚시터!$P$14:$P$44-낚시터!$O$14:$O$44)/(1+$G7)+(낚시터!$P$14:$P$44-낚시터!$O$14:$O$44)^2/(1+2*$G7))/낚시터!$R$14:$R$44^2)/SUMPRODUCT((낚시터!$A$14:$A$44="강")*낚시터!$E$14:$E$44*(1+$F7*낚시터!$S$14:$S$44*가정!$B$7)*(1+가정!$B$27)^($E7*낚시터!$S$14:$S$44))</f>
        <v>49.5180852401902</v>
      </c>
      <c r="L7" s="20" t="n">
        <f aca="false">SUMPRODUCT((낚시터!$A$14:$A$44="방파제")*낚시터!$E$14:$E$44*(1+$F7*낚시터!$S$14:$S$44*가정!$B$7)*(1+가정!$B$27)^($E7*낚시터!$S$14:$S$44)*낚시터!$Q$14:$Q$44*(낚시터!$O$14:$O$44^2+2*낚시터!$O$14:$O$44*(낚시터!$P$14:$P$44-낚시터!$O$14:$O$44)/(1+$G7)+(낚시터!$P$14:$P$44-낚시터!$O$14:$O$44)^2/(1+2*$G7))/낚시터!$R$14:$R$44^2)/SUMPRODUCT((낚시터!$A$14:$A$44="방파제")*낚시터!$E$14:$E$44*(1+$F7*낚시터!$S$14:$S$44*가정!$B$7)*(1+가정!$B$27)^($E7*낚시터!$S$14:$S$44))</f>
        <v>128.475845166968</v>
      </c>
      <c r="M7" s="20" t="n">
        <f aca="false">SUMPRODUCT((낚시터!$A$14:$A$44="배낚시")*낚시터!$E$14:$E$44*(1+$F7*낚시터!$S$14:$S$44*가정!$B$7)*(1+가정!$B$27)^($E7*낚시터!$S$14:$S$44)*낚시터!$Q$14:$Q$44*(낚시터!$O$14:$O$44^2+2*낚시터!$O$14:$O$44*(낚시터!$P$14:$P$44-낚시터!$O$14:$O$44)/(1+$G7)+(낚시터!$P$14:$P$44-낚시터!$O$14:$O$44)^2/(1+2*$G7))/낚시터!$R$14:$R$44^2)/SUMPRODUCT((낚시터!$A$14:$A$44="배낚시")*낚시터!$E$14:$E$44*(1+$F7*낚시터!$S$14:$S$44*가정!$B$7)*(1+가정!$B$27)^($E7*낚시터!$S$14:$S$44))</f>
        <v>789.785857921675</v>
      </c>
      <c r="N7" s="20" t="n">
        <f aca="false">K7/$H7*60</f>
        <v>39.6144681921522</v>
      </c>
      <c r="O7" s="20" t="n">
        <f aca="false">L7/$H7*60</f>
        <v>102.780676133575</v>
      </c>
      <c r="P7" s="20" t="n">
        <f aca="false">M7/$H7*60</f>
        <v>631.82868633734</v>
      </c>
      <c r="Q7" s="24" t="n">
        <f aca="false">C7/N7</f>
        <v>504.866048005211</v>
      </c>
      <c r="R7" s="24" t="n">
        <f aca="false">C7/O7</f>
        <v>194.589107139243</v>
      </c>
      <c r="S7" s="24" t="n">
        <f aca="false">C7/P7</f>
        <v>31.6541499816008</v>
      </c>
    </row>
    <row r="8" customFormat="false" ht="15" hidden="false" customHeight="false" outlineLevel="0" collapsed="false">
      <c r="A8" s="14" t="n">
        <v>3</v>
      </c>
      <c r="B8" s="11" t="s">
        <v>286</v>
      </c>
      <c r="C8" s="12" t="n">
        <v>60000</v>
      </c>
      <c r="D8" s="20" t="n">
        <f aca="false">SUM($C$6:C8)</f>
        <v>85000</v>
      </c>
      <c r="E8" s="32" t="n">
        <v>0.5</v>
      </c>
      <c r="F8" s="21" t="n">
        <v>0.2</v>
      </c>
      <c r="G8" s="28" t="n">
        <f aca="false">MAX(0.9,가정!$B$5-F8*가정!$B$6)</f>
        <v>1.68</v>
      </c>
      <c r="H8" s="9" t="n">
        <v>60</v>
      </c>
      <c r="I8" s="9" t="n">
        <v>8</v>
      </c>
      <c r="J8" s="27" t="n">
        <f aca="false">H8*I8/60</f>
        <v>8</v>
      </c>
      <c r="K8" s="20" t="n">
        <f aca="false">SUMPRODUCT((낚시터!$A$14:$A$44="강")*낚시터!$E$14:$E$44*(1+$F8*낚시터!$S$14:$S$44*가정!$B$7)*(1+가정!$B$27)^($E8*낚시터!$S$14:$S$44)*낚시터!$Q$14:$Q$44*(낚시터!$O$14:$O$44^2+2*낚시터!$O$14:$O$44*(낚시터!$P$14:$P$44-낚시터!$O$14:$O$44)/(1+$G8)+(낚시터!$P$14:$P$44-낚시터!$O$14:$O$44)^2/(1+2*$G8))/낚시터!$R$14:$R$44^2)/SUMPRODUCT((낚시터!$A$14:$A$44="강")*낚시터!$E$14:$E$44*(1+$F8*낚시터!$S$14:$S$44*가정!$B$7)*(1+가정!$B$27)^($E8*낚시터!$S$14:$S$44))</f>
        <v>61.9406825153851</v>
      </c>
      <c r="L8" s="20" t="n">
        <f aca="false">SUMPRODUCT((낚시터!$A$14:$A$44="방파제")*낚시터!$E$14:$E$44*(1+$F8*낚시터!$S$14:$S$44*가정!$B$7)*(1+가정!$B$27)^($E8*낚시터!$S$14:$S$44)*낚시터!$Q$14:$Q$44*(낚시터!$O$14:$O$44^2+2*낚시터!$O$14:$O$44*(낚시터!$P$14:$P$44-낚시터!$O$14:$O$44)/(1+$G8)+(낚시터!$P$14:$P$44-낚시터!$O$14:$O$44)^2/(1+2*$G8))/낚시터!$R$14:$R$44^2)/SUMPRODUCT((낚시터!$A$14:$A$44="방파제")*낚시터!$E$14:$E$44*(1+$F8*낚시터!$S$14:$S$44*가정!$B$7)*(1+가정!$B$27)^($E8*낚시터!$S$14:$S$44))</f>
        <v>158.133562968333</v>
      </c>
      <c r="M8" s="20" t="n">
        <f aca="false">SUMPRODUCT((낚시터!$A$14:$A$44="배낚시")*낚시터!$E$14:$E$44*(1+$F8*낚시터!$S$14:$S$44*가정!$B$7)*(1+가정!$B$27)^($E8*낚시터!$S$14:$S$44)*낚시터!$Q$14:$Q$44*(낚시터!$O$14:$O$44^2+2*낚시터!$O$14:$O$44*(낚시터!$P$14:$P$44-낚시터!$O$14:$O$44)/(1+$G8)+(낚시터!$P$14:$P$44-낚시터!$O$14:$O$44)^2/(1+2*$G8))/낚시터!$R$14:$R$44^2)/SUMPRODUCT((낚시터!$A$14:$A$44="배낚시")*낚시터!$E$14:$E$44*(1+$F8*낚시터!$S$14:$S$44*가정!$B$7)*(1+가정!$B$27)^($E8*낚시터!$S$14:$S$44))</f>
        <v>922.671797924911</v>
      </c>
      <c r="N8" s="20" t="n">
        <f aca="false">K8/$H8*60</f>
        <v>61.9406825153851</v>
      </c>
      <c r="O8" s="20" t="n">
        <f aca="false">L8/$H8*60</f>
        <v>158.133562968333</v>
      </c>
      <c r="P8" s="20" t="n">
        <f aca="false">M8/$H8*60</f>
        <v>922.671797924911</v>
      </c>
      <c r="Q8" s="24" t="n">
        <f aca="false">C8/N8</f>
        <v>968.668693392214</v>
      </c>
      <c r="R8" s="24" t="n">
        <f aca="false">C8/O8</f>
        <v>379.426093194494</v>
      </c>
      <c r="S8" s="24" t="n">
        <f aca="false">C8/P8</f>
        <v>65.0285400886209</v>
      </c>
    </row>
    <row r="9" customFormat="false" ht="15" hidden="false" customHeight="false" outlineLevel="0" collapsed="false">
      <c r="A9" s="14" t="n">
        <v>4</v>
      </c>
      <c r="B9" s="11" t="s">
        <v>287</v>
      </c>
      <c r="C9" s="12" t="n">
        <v>150000</v>
      </c>
      <c r="D9" s="20" t="n">
        <f aca="false">SUM($C$6:C9)</f>
        <v>235000</v>
      </c>
      <c r="E9" s="32" t="n">
        <v>1</v>
      </c>
      <c r="F9" s="21" t="n">
        <v>0.35</v>
      </c>
      <c r="G9" s="28" t="n">
        <f aca="false">MAX(0.9,가정!$B$5-F9*가정!$B$6)</f>
        <v>1.59</v>
      </c>
      <c r="H9" s="9" t="n">
        <v>45</v>
      </c>
      <c r="I9" s="9" t="n">
        <v>10</v>
      </c>
      <c r="J9" s="27" t="n">
        <f aca="false">H9*I9/60</f>
        <v>7.5</v>
      </c>
      <c r="K9" s="20" t="n">
        <f aca="false">SUMPRODUCT((낚시터!$A$14:$A$44="강")*낚시터!$E$14:$E$44*(1+$F9*낚시터!$S$14:$S$44*가정!$B$7)*(1+가정!$B$27)^($E9*낚시터!$S$14:$S$44)*낚시터!$Q$14:$Q$44*(낚시터!$O$14:$O$44^2+2*낚시터!$O$14:$O$44*(낚시터!$P$14:$P$44-낚시터!$O$14:$O$44)/(1+$G9)+(낚시터!$P$14:$P$44-낚시터!$O$14:$O$44)^2/(1+2*$G9))/낚시터!$R$14:$R$44^2)/SUMPRODUCT((낚시터!$A$14:$A$44="강")*낚시터!$E$14:$E$44*(1+$F9*낚시터!$S$14:$S$44*가정!$B$7)*(1+가정!$B$27)^($E9*낚시터!$S$14:$S$44))</f>
        <v>80.4270102664426</v>
      </c>
      <c r="L9" s="20" t="n">
        <f aca="false">SUMPRODUCT((낚시터!$A$14:$A$44="방파제")*낚시터!$E$14:$E$44*(1+$F9*낚시터!$S$14:$S$44*가정!$B$7)*(1+가정!$B$27)^($E9*낚시터!$S$14:$S$44)*낚시터!$Q$14:$Q$44*(낚시터!$O$14:$O$44^2+2*낚시터!$O$14:$O$44*(낚시터!$P$14:$P$44-낚시터!$O$14:$O$44)/(1+$G9)+(낚시터!$P$14:$P$44-낚시터!$O$14:$O$44)^2/(1+2*$G9))/낚시터!$R$14:$R$44^2)/SUMPRODUCT((낚시터!$A$14:$A$44="방파제")*낚시터!$E$14:$E$44*(1+$F9*낚시터!$S$14:$S$44*가정!$B$7)*(1+가정!$B$27)^($E9*낚시터!$S$14:$S$44))</f>
        <v>197.21479632833</v>
      </c>
      <c r="M9" s="20" t="n">
        <f aca="false">SUMPRODUCT((낚시터!$A$14:$A$44="배낚시")*낚시터!$E$14:$E$44*(1+$F9*낚시터!$S$14:$S$44*가정!$B$7)*(1+가정!$B$27)^($E9*낚시터!$S$14:$S$44)*낚시터!$Q$14:$Q$44*(낚시터!$O$14:$O$44^2+2*낚시터!$O$14:$O$44*(낚시터!$P$14:$P$44-낚시터!$O$14:$O$44)/(1+$G9)+(낚시터!$P$14:$P$44-낚시터!$O$14:$O$44)^2/(1+2*$G9))/낚시터!$R$14:$R$44^2)/SUMPRODUCT((낚시터!$A$14:$A$44="배낚시")*낚시터!$E$14:$E$44*(1+$F9*낚시터!$S$14:$S$44*가정!$B$7)*(1+가정!$B$27)^($E9*낚시터!$S$14:$S$44))</f>
        <v>1083.78606344074</v>
      </c>
      <c r="N9" s="20" t="n">
        <f aca="false">K9/$H9*60</f>
        <v>107.23601368859</v>
      </c>
      <c r="O9" s="20" t="n">
        <f aca="false">L9/$H9*60</f>
        <v>262.953061771107</v>
      </c>
      <c r="P9" s="20" t="n">
        <f aca="false">M9/$H9*60</f>
        <v>1445.04808458766</v>
      </c>
      <c r="Q9" s="24" t="n">
        <f aca="false">C9/N9</f>
        <v>1398.78381189733</v>
      </c>
      <c r="R9" s="24" t="n">
        <f aca="false">C9/O9</f>
        <v>570.44401380871</v>
      </c>
      <c r="S9" s="24" t="n">
        <f aca="false">C9/P9</f>
        <v>103.802774177444</v>
      </c>
    </row>
    <row r="10" customFormat="false" ht="15" hidden="false" customHeight="false" outlineLevel="0" collapsed="false">
      <c r="A10" s="14" t="n">
        <v>5</v>
      </c>
      <c r="B10" s="11" t="s">
        <v>288</v>
      </c>
      <c r="C10" s="12" t="n">
        <v>400000</v>
      </c>
      <c r="D10" s="20" t="n">
        <f aca="false">SUM($C$6:C10)</f>
        <v>635000</v>
      </c>
      <c r="E10" s="32" t="n">
        <v>1.6</v>
      </c>
      <c r="F10" s="21" t="n">
        <v>0.5</v>
      </c>
      <c r="G10" s="28" t="n">
        <f aca="false">MAX(0.9,가정!$B$5-F10*가정!$B$6)</f>
        <v>1.5</v>
      </c>
      <c r="H10" s="9" t="n">
        <v>30</v>
      </c>
      <c r="I10" s="9" t="n">
        <v>12</v>
      </c>
      <c r="J10" s="27" t="n">
        <f aca="false">H10*I10/60</f>
        <v>6</v>
      </c>
      <c r="K10" s="20" t="n">
        <f aca="false">SUMPRODUCT((낚시터!$A$14:$A$44="강")*낚시터!$E$14:$E$44*(1+$F10*낚시터!$S$14:$S$44*가정!$B$7)*(1+가정!$B$27)^($E10*낚시터!$S$14:$S$44)*낚시터!$Q$14:$Q$44*(낚시터!$O$14:$O$44^2+2*낚시터!$O$14:$O$44*(낚시터!$P$14:$P$44-낚시터!$O$14:$O$44)/(1+$G10)+(낚시터!$P$14:$P$44-낚시터!$O$14:$O$44)^2/(1+2*$G10))/낚시터!$R$14:$R$44^2)/SUMPRODUCT((낚시터!$A$14:$A$44="강")*낚시터!$E$14:$E$44*(1+$F10*낚시터!$S$14:$S$44*가정!$B$7)*(1+가정!$B$27)^($E10*낚시터!$S$14:$S$44))</f>
        <v>109.708620355131</v>
      </c>
      <c r="L10" s="20" t="n">
        <f aca="false">SUMPRODUCT((낚시터!$A$14:$A$44="방파제")*낚시터!$E$14:$E$44*(1+$F10*낚시터!$S$14:$S$44*가정!$B$7)*(1+가정!$B$27)^($E10*낚시터!$S$14:$S$44)*낚시터!$Q$14:$Q$44*(낚시터!$O$14:$O$44^2+2*낚시터!$O$14:$O$44*(낚시터!$P$14:$P$44-낚시터!$O$14:$O$44)/(1+$G10)+(낚시터!$P$14:$P$44-낚시터!$O$14:$O$44)^2/(1+2*$G10))/낚시터!$R$14:$R$44^2)/SUMPRODUCT((낚시터!$A$14:$A$44="방파제")*낚시터!$E$14:$E$44*(1+$F10*낚시터!$S$14:$S$44*가정!$B$7)*(1+가정!$B$27)^($E10*낚시터!$S$14:$S$44))</f>
        <v>249.554053224506</v>
      </c>
      <c r="M10" s="20" t="n">
        <f aca="false">SUMPRODUCT((낚시터!$A$14:$A$44="배낚시")*낚시터!$E$14:$E$44*(1+$F10*낚시터!$S$14:$S$44*가정!$B$7)*(1+가정!$B$27)^($E10*낚시터!$S$14:$S$44)*낚시터!$Q$14:$Q$44*(낚시터!$O$14:$O$44^2+2*낚시터!$O$14:$O$44*(낚시터!$P$14:$P$44-낚시터!$O$14:$O$44)/(1+$G10)+(낚시터!$P$14:$P$44-낚시터!$O$14:$O$44)^2/(1+2*$G10))/낚시터!$R$14:$R$44^2)/SUMPRODUCT((낚시터!$A$14:$A$44="배낚시")*낚시터!$E$14:$E$44*(1+$F10*낚시터!$S$14:$S$44*가정!$B$7)*(1+가정!$B$27)^($E10*낚시터!$S$14:$S$44))</f>
        <v>1284.16349788298</v>
      </c>
      <c r="N10" s="20" t="n">
        <f aca="false">K10/$H10*60</f>
        <v>219.417240710263</v>
      </c>
      <c r="O10" s="20" t="n">
        <f aca="false">L10/$H10*60</f>
        <v>499.108106449011</v>
      </c>
      <c r="P10" s="20" t="n">
        <f aca="false">M10/$H10*60</f>
        <v>2568.32699576596</v>
      </c>
      <c r="Q10" s="24" t="n">
        <f aca="false">C10/N10</f>
        <v>1823.01080218302</v>
      </c>
      <c r="R10" s="24" t="n">
        <f aca="false">C10/O10</f>
        <v>801.429579747497</v>
      </c>
      <c r="S10" s="24" t="n">
        <f aca="false">C10/P10</f>
        <v>155.743408319666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24"/>
    <col collapsed="false" customWidth="true" hidden="false" outlineLevel="0" max="4" min="4" style="0" width="10"/>
    <col collapsed="false" customWidth="true" hidden="false" outlineLevel="0" max="5" min="5" style="0" width="9"/>
    <col collapsed="false" customWidth="true" hidden="false" outlineLevel="0" max="6" min="6" style="0" width="48"/>
  </cols>
  <sheetData>
    <row r="1" customFormat="false" ht="16.15" hidden="false" customHeight="false" outlineLevel="0" collapsed="false">
      <c r="A1" s="1" t="s">
        <v>289</v>
      </c>
    </row>
    <row r="2" customFormat="false" ht="15" hidden="false" customHeight="false" outlineLevel="0" collapsed="false">
      <c r="A2" s="2" t="s">
        <v>290</v>
      </c>
    </row>
    <row r="4" customFormat="false" ht="31.5" hidden="false" customHeight="true" outlineLevel="0" collapsed="false">
      <c r="A4" s="3" t="s">
        <v>235</v>
      </c>
      <c r="B4" s="3" t="s">
        <v>291</v>
      </c>
      <c r="C4" s="3" t="s">
        <v>292</v>
      </c>
      <c r="D4" s="3" t="s">
        <v>293</v>
      </c>
      <c r="E4" s="3" t="s">
        <v>119</v>
      </c>
      <c r="F4" s="3" t="s">
        <v>294</v>
      </c>
    </row>
    <row r="5" customFormat="false" ht="15" hidden="false" customHeight="false" outlineLevel="0" collapsed="false">
      <c r="A5" s="4" t="s">
        <v>244</v>
      </c>
      <c r="B5" s="14" t="n">
        <v>3</v>
      </c>
      <c r="C5" s="11" t="s">
        <v>295</v>
      </c>
      <c r="D5" s="4" t="s">
        <v>296</v>
      </c>
      <c r="E5" s="34" t="n">
        <v>2</v>
      </c>
      <c r="F5" s="4" t="s">
        <v>297</v>
      </c>
    </row>
    <row r="6" customFormat="false" ht="15" hidden="false" customHeight="false" outlineLevel="0" collapsed="false">
      <c r="A6" s="4" t="s">
        <v>246</v>
      </c>
      <c r="B6" s="14" t="n">
        <v>7</v>
      </c>
      <c r="C6" s="11" t="s">
        <v>298</v>
      </c>
      <c r="D6" s="4" t="s">
        <v>299</v>
      </c>
      <c r="E6" s="21" t="n">
        <v>0.1</v>
      </c>
      <c r="F6" s="4" t="s">
        <v>300</v>
      </c>
    </row>
    <row r="7" customFormat="false" ht="15" hidden="false" customHeight="false" outlineLevel="0" collapsed="false">
      <c r="A7" s="4" t="s">
        <v>248</v>
      </c>
      <c r="B7" s="14" t="n">
        <v>8</v>
      </c>
      <c r="C7" s="11" t="s">
        <v>301</v>
      </c>
      <c r="D7" s="4" t="s">
        <v>302</v>
      </c>
      <c r="E7" s="32" t="n">
        <v>0.3</v>
      </c>
      <c r="F7" s="4" t="s">
        <v>303</v>
      </c>
    </row>
    <row r="8" customFormat="false" ht="15" hidden="false" customHeight="false" outlineLevel="0" collapsed="false">
      <c r="A8" s="4" t="s">
        <v>250</v>
      </c>
      <c r="B8" s="14" t="n">
        <v>6</v>
      </c>
      <c r="C8" s="11" t="s">
        <v>304</v>
      </c>
      <c r="D8" s="4" t="s">
        <v>305</v>
      </c>
      <c r="E8" s="21" t="n">
        <v>0.1</v>
      </c>
      <c r="F8" s="4" t="s">
        <v>306</v>
      </c>
    </row>
    <row r="9" customFormat="false" ht="15" hidden="false" customHeight="false" outlineLevel="0" collapsed="false">
      <c r="A9" s="4" t="s">
        <v>160</v>
      </c>
      <c r="B9" s="14" t="n">
        <v>4</v>
      </c>
      <c r="C9" s="11" t="s">
        <v>307</v>
      </c>
      <c r="D9" s="4" t="s">
        <v>308</v>
      </c>
      <c r="E9" s="34" t="n">
        <v>30</v>
      </c>
      <c r="F9" s="4" t="s">
        <v>309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2026-10-09T15:54:01Z</dcterms:created>
  <dc:creator>openpyxl</dc:creator>
  <dc:description/>
  <dc:language>en-US</dc:language>
  <cp:lastModifiedBy/>
  <dcterms:modified xsi:type="dcterms:W3CDTF">2026-10-09T15:54:01Z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